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FE\Roadmap\"/>
    </mc:Choice>
  </mc:AlternateContent>
  <xr:revisionPtr revIDLastSave="0" documentId="13_ncr:1_{3B698200-2DB6-4259-AD7E-37214C285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Topic Planner" sheetId="2" r:id="rId2"/>
    <sheet name="Weekly Plan" sheetId="3" r:id="rId3"/>
    <sheet name="_Lists" sheetId="4" state="hidden" r:id="rId4"/>
    <sheet name="_Calc" sheetId="5" state="hidden" r:id="rId5"/>
    <sheet name="_PlanEngine" sheetId="6" state="hidden" r:id="rId6"/>
  </sheets>
  <definedNames>
    <definedName name="_xlnm._FilterDatabase" localSheetId="1" hidden="1">'Topic Planner'!$A$1:$R$86</definedName>
    <definedName name="CompletedHrs">_Calc!$B$25</definedName>
    <definedName name="DailyEnergy">Dashboard!$H$20:$H$26</definedName>
    <definedName name="DailyMins">Dashboard!$G$20:$G$26</definedName>
    <definedName name="DailyMode">Dashboard!$I$20:$I$26</definedName>
    <definedName name="DayNames">_Lists!$G$2:$G$8</definedName>
    <definedName name="DeferKey">'Topic Planner'!$U$2:$U$86</definedName>
    <definedName name="FamilyKey">'Topic Planner'!$V$2:$V$86</definedName>
    <definedName name="FamilyTaskTemplates">_Lists!$D$2:$D$4</definedName>
    <definedName name="HighPriRem">_Calc!$B$23</definedName>
    <definedName name="LowEnergyTasks">_Lists!$B$2:$B$7</definedName>
    <definedName name="NormalTaskTemplates">_Lists!$C$2:$C$4</definedName>
    <definedName name="OverallDone">_Calc!$B$2</definedName>
    <definedName name="OverallRem">_Calc!$B$3</definedName>
    <definedName name="PlanAutoTask">_PlanEngine!$O$2:$O$8</definedName>
    <definedName name="PlanAvailMins">_PlanEngine!$E$2:$E$8</definedName>
    <definedName name="PlanDate">_PlanEngine!$B$2:$B$8</definedName>
    <definedName name="PlanDay">_PlanEngine!$C$2:$C$8</definedName>
    <definedName name="PlanEnergy">_PlanEngine!$F$2:$F$8</definedName>
    <definedName name="PlanMode">_PlanEngine!$D$2:$D$8</definedName>
    <definedName name="PlannedHrs">_Calc!$B$24</definedName>
    <definedName name="PlanSuggestMins">_PlanEngine!$N$2:$N$8</definedName>
    <definedName name="PlanTopicIdx">_PlanEngine!$J$2:$J$8</definedName>
    <definedName name="PlanTopicName">_PlanEngine!$K$2:$K$8</definedName>
    <definedName name="PlanTopicSection">_PlanEngine!$L$2:$L$8</definedName>
    <definedName name="PlanTopicTier">_PlanEngine!$M$2:$M$8</definedName>
    <definedName name="PriorityKey">'Topic Planner'!$S$2:$S$86</definedName>
    <definedName name="ProgressPct">_Calc!$B$27</definedName>
    <definedName name="ReadinessPct">_Calc!$B$28</definedName>
    <definedName name="RemainingHrs">_Calc!$B$26</definedName>
    <definedName name="StatusList">_Lists!$I$2:$I$8</definedName>
    <definedName name="TiredKey">'Topic Planner'!$T$2:$T$86</definedName>
    <definedName name="TopicAction">'Topic Planner'!$Q$2:$Q$86</definedName>
    <definedName name="TopicBoredom">'Topic Planner'!$I$2:$I$86</definedName>
    <definedName name="TopicCompleted">'Topic Planner'!$N$2:$N$86</definedName>
    <definedName name="TopicConf">'Topic Planner'!$G$2:$G$86</definedName>
    <definedName name="TopicDepth">'Topic Planner'!$L$2:$L$86</definedName>
    <definedName name="TopicDiff">'Topic Planner'!$H$2:$H$86</definedName>
    <definedName name="TopicHours">'Topic Planner'!$M$2:$M$86</definedName>
    <definedName name="TopicInclude">'Topic Planner'!$A$2:$A$86</definedName>
    <definedName name="TopicName">'Topic Planner'!$C$2:$C$86</definedName>
    <definedName name="TopicPriority">'Topic Planner'!$K$2:$K$86</definedName>
    <definedName name="TopicProgress">'Topic Planner'!$O$2:$O$86</definedName>
    <definedName name="TopicQuickWin">'Topic Planner'!$J$2:$J$86</definedName>
    <definedName name="TopicSection">'Topic Planner'!$B$2:$B$86</definedName>
    <definedName name="TopicStatus">'Topic Planner'!$P$2:$P$86</definedName>
    <definedName name="TopicTier">'Topic Planner'!$F$2:$F$86</definedName>
    <definedName name="TopicWeight">'Topic Planner'!$E$2:$E$86</definedName>
    <definedName name="TotalIncluded">_Calc!$B$22</definedName>
    <definedName name="WeeklyAvail">_Calc!$B$38</definedName>
    <definedName name="WeeklyPlanActual">'Weekly Plan'!$I$6:$I$12</definedName>
    <definedName name="WeeklyPlanDate">'Weekly Plan'!$A$6:$A$12</definedName>
    <definedName name="WeeklyPlanDay">'Weekly Plan'!$B$6:$B$12</definedName>
    <definedName name="WeeklyPlanDone">'Weekly Plan'!$H$6:$H$12</definedName>
    <definedName name="WeeklyPlanMins">'Weekly Plan'!$G$6:$G$12</definedName>
    <definedName name="WeeklyPlanMode">'Weekly Plan'!$C$6:$C$12</definedName>
    <definedName name="WeeklyPlanned">_Calc!$B$39</definedName>
    <definedName name="WeeklyPlanTask">'Weekly Plan'!$F$6:$F$12</definedName>
    <definedName name="WeeklyPlanTopic">'Weekly Plan'!$E$6:$E$12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" i="6" l="1"/>
  <c r="N8" i="6"/>
  <c r="G12" i="3" s="1"/>
  <c r="Q26" i="1" s="1"/>
  <c r="F8" i="6"/>
  <c r="E8" i="6"/>
  <c r="D8" i="6"/>
  <c r="Q8" i="6" s="1"/>
  <c r="C8" i="6"/>
  <c r="G7" i="6"/>
  <c r="F7" i="6"/>
  <c r="E7" i="6"/>
  <c r="D7" i="6"/>
  <c r="I7" i="6" s="1"/>
  <c r="C7" i="6"/>
  <c r="Q6" i="6"/>
  <c r="G6" i="6"/>
  <c r="F6" i="6"/>
  <c r="E6" i="6"/>
  <c r="D6" i="6"/>
  <c r="I6" i="6" s="1"/>
  <c r="C6" i="6"/>
  <c r="F5" i="6"/>
  <c r="E5" i="6"/>
  <c r="D5" i="6"/>
  <c r="H6" i="6" s="1"/>
  <c r="C5" i="6"/>
  <c r="N4" i="6"/>
  <c r="P4" i="6" s="1"/>
  <c r="I4" i="6"/>
  <c r="H4" i="6"/>
  <c r="G4" i="6"/>
  <c r="F4" i="6"/>
  <c r="E4" i="6"/>
  <c r="D4" i="6"/>
  <c r="Q4" i="6" s="1"/>
  <c r="C4" i="6"/>
  <c r="N3" i="6"/>
  <c r="P3" i="6" s="1"/>
  <c r="F3" i="6"/>
  <c r="E3" i="6"/>
  <c r="B38" i="5" s="1"/>
  <c r="G8" i="1" s="1"/>
  <c r="D3" i="6"/>
  <c r="Q3" i="6" s="1"/>
  <c r="C3" i="6"/>
  <c r="G2" i="6"/>
  <c r="F2" i="6"/>
  <c r="E2" i="6"/>
  <c r="D2" i="6"/>
  <c r="I2" i="6" s="1"/>
  <c r="C2" i="6"/>
  <c r="B2" i="6"/>
  <c r="B3" i="6" s="1"/>
  <c r="C34" i="5"/>
  <c r="B34" i="5"/>
  <c r="C33" i="5"/>
  <c r="B33" i="5"/>
  <c r="C32" i="5"/>
  <c r="B32" i="5"/>
  <c r="B25" i="5"/>
  <c r="B27" i="5" s="1"/>
  <c r="J5" i="1" s="1"/>
  <c r="B24" i="5"/>
  <c r="B22" i="5"/>
  <c r="B12" i="5"/>
  <c r="B11" i="5"/>
  <c r="B10" i="5"/>
  <c r="B9" i="5"/>
  <c r="B8" i="5"/>
  <c r="B7" i="5"/>
  <c r="B6" i="5"/>
  <c r="B3" i="5"/>
  <c r="B2" i="5"/>
  <c r="E17" i="3"/>
  <c r="I13" i="3"/>
  <c r="H13" i="3"/>
  <c r="D12" i="3"/>
  <c r="C12" i="3"/>
  <c r="B12" i="3"/>
  <c r="L26" i="1" s="1"/>
  <c r="D11" i="3"/>
  <c r="C11" i="3"/>
  <c r="B11" i="3"/>
  <c r="L25" i="1" s="1"/>
  <c r="D10" i="3"/>
  <c r="C10" i="3"/>
  <c r="B10" i="3"/>
  <c r="L24" i="1" s="1"/>
  <c r="D9" i="3"/>
  <c r="C9" i="3"/>
  <c r="B9" i="3"/>
  <c r="L23" i="1" s="1"/>
  <c r="G8" i="3"/>
  <c r="D8" i="3"/>
  <c r="C8" i="3"/>
  <c r="B8" i="3"/>
  <c r="D7" i="3"/>
  <c r="C7" i="3"/>
  <c r="B7" i="3"/>
  <c r="L21" i="1" s="1"/>
  <c r="D6" i="3"/>
  <c r="A17" i="3" s="1"/>
  <c r="C6" i="3"/>
  <c r="B6" i="3"/>
  <c r="V86" i="2"/>
  <c r="U86" i="2"/>
  <c r="T86" i="2"/>
  <c r="S86" i="2"/>
  <c r="O86" i="2"/>
  <c r="Q86" i="2" s="1"/>
  <c r="K86" i="2"/>
  <c r="U85" i="2"/>
  <c r="S85" i="2"/>
  <c r="O85" i="2"/>
  <c r="Q85" i="2" s="1"/>
  <c r="K85" i="2"/>
  <c r="U84" i="2"/>
  <c r="T84" i="2"/>
  <c r="S84" i="2"/>
  <c r="O84" i="2"/>
  <c r="V84" i="2" s="1"/>
  <c r="K84" i="2"/>
  <c r="V83" i="2"/>
  <c r="T83" i="2"/>
  <c r="O83" i="2"/>
  <c r="K83" i="2"/>
  <c r="U83" i="2" s="1"/>
  <c r="V82" i="2"/>
  <c r="U82" i="2"/>
  <c r="T82" i="2"/>
  <c r="S82" i="2"/>
  <c r="Q82" i="2"/>
  <c r="O82" i="2"/>
  <c r="K82" i="2"/>
  <c r="V81" i="2"/>
  <c r="U81" i="2"/>
  <c r="T81" i="2"/>
  <c r="Q81" i="2"/>
  <c r="O81" i="2"/>
  <c r="K81" i="2"/>
  <c r="S81" i="2" s="1"/>
  <c r="O80" i="2"/>
  <c r="V80" i="2" s="1"/>
  <c r="K80" i="2"/>
  <c r="U80" i="2" s="1"/>
  <c r="V79" i="2"/>
  <c r="U79" i="2"/>
  <c r="T79" i="2"/>
  <c r="S79" i="2"/>
  <c r="O79" i="2"/>
  <c r="Q79" i="2" s="1"/>
  <c r="K79" i="2"/>
  <c r="V78" i="2"/>
  <c r="U78" i="2"/>
  <c r="S78" i="2"/>
  <c r="O78" i="2"/>
  <c r="T78" i="2" s="1"/>
  <c r="K78" i="2"/>
  <c r="V77" i="2"/>
  <c r="O77" i="2"/>
  <c r="T77" i="2" s="1"/>
  <c r="K77" i="2"/>
  <c r="U77" i="2" s="1"/>
  <c r="V76" i="2"/>
  <c r="T76" i="2"/>
  <c r="O76" i="2"/>
  <c r="Q76" i="2" s="1"/>
  <c r="K76" i="2"/>
  <c r="S76" i="2" s="1"/>
  <c r="V75" i="2"/>
  <c r="T75" i="2"/>
  <c r="Q75" i="2"/>
  <c r="O75" i="2"/>
  <c r="K75" i="2"/>
  <c r="U75" i="2" s="1"/>
  <c r="V74" i="2"/>
  <c r="O74" i="2"/>
  <c r="Q74" i="2" s="1"/>
  <c r="K74" i="2"/>
  <c r="U74" i="2" s="1"/>
  <c r="V73" i="2"/>
  <c r="O73" i="2"/>
  <c r="T73" i="2" s="1"/>
  <c r="K73" i="2"/>
  <c r="S73" i="2" s="1"/>
  <c r="V72" i="2"/>
  <c r="U72" i="2"/>
  <c r="S72" i="2"/>
  <c r="Q72" i="2"/>
  <c r="O72" i="2"/>
  <c r="T72" i="2" s="1"/>
  <c r="K72" i="2"/>
  <c r="V71" i="2"/>
  <c r="O71" i="2"/>
  <c r="T71" i="2" s="1"/>
  <c r="K71" i="2"/>
  <c r="S71" i="2" s="1"/>
  <c r="V70" i="2"/>
  <c r="S70" i="2"/>
  <c r="O70" i="2"/>
  <c r="T70" i="2" s="1"/>
  <c r="K70" i="2"/>
  <c r="U70" i="2" s="1"/>
  <c r="V69" i="2"/>
  <c r="U69" i="2"/>
  <c r="T69" i="2"/>
  <c r="S69" i="2"/>
  <c r="Q69" i="2"/>
  <c r="O69" i="2"/>
  <c r="K69" i="2"/>
  <c r="O68" i="2"/>
  <c r="Q68" i="2" s="1"/>
  <c r="K68" i="2"/>
  <c r="U68" i="2" s="1"/>
  <c r="T67" i="2"/>
  <c r="S67" i="2"/>
  <c r="Q67" i="2"/>
  <c r="O67" i="2"/>
  <c r="V67" i="2" s="1"/>
  <c r="K67" i="2"/>
  <c r="U67" i="2" s="1"/>
  <c r="V66" i="2"/>
  <c r="U66" i="2"/>
  <c r="T66" i="2"/>
  <c r="S66" i="2"/>
  <c r="O66" i="2"/>
  <c r="Q66" i="2" s="1"/>
  <c r="K66" i="2"/>
  <c r="U65" i="2"/>
  <c r="S65" i="2"/>
  <c r="O65" i="2"/>
  <c r="Q65" i="2" s="1"/>
  <c r="K65" i="2"/>
  <c r="U64" i="2"/>
  <c r="T64" i="2"/>
  <c r="S64" i="2"/>
  <c r="O64" i="2"/>
  <c r="V64" i="2" s="1"/>
  <c r="K64" i="2"/>
  <c r="V63" i="2"/>
  <c r="U63" i="2"/>
  <c r="T63" i="2"/>
  <c r="O63" i="2"/>
  <c r="Q63" i="2" s="1"/>
  <c r="K63" i="2"/>
  <c r="S63" i="2" s="1"/>
  <c r="V62" i="2"/>
  <c r="U62" i="2"/>
  <c r="T62" i="2"/>
  <c r="S62" i="2"/>
  <c r="Q62" i="2"/>
  <c r="O62" i="2"/>
  <c r="K62" i="2"/>
  <c r="V61" i="2"/>
  <c r="U61" i="2"/>
  <c r="T61" i="2"/>
  <c r="Q61" i="2"/>
  <c r="O61" i="2"/>
  <c r="K61" i="2"/>
  <c r="S61" i="2" s="1"/>
  <c r="V60" i="2"/>
  <c r="O60" i="2"/>
  <c r="T60" i="2" s="1"/>
  <c r="K60" i="2"/>
  <c r="U60" i="2" s="1"/>
  <c r="V59" i="2"/>
  <c r="U59" i="2"/>
  <c r="T59" i="2"/>
  <c r="S59" i="2"/>
  <c r="O59" i="2"/>
  <c r="Q59" i="2" s="1"/>
  <c r="K59" i="2"/>
  <c r="V58" i="2"/>
  <c r="U58" i="2"/>
  <c r="S58" i="2"/>
  <c r="O58" i="2"/>
  <c r="T58" i="2" s="1"/>
  <c r="K58" i="2"/>
  <c r="O57" i="2"/>
  <c r="V57" i="2" s="1"/>
  <c r="K57" i="2"/>
  <c r="U57" i="2" s="1"/>
  <c r="V56" i="2"/>
  <c r="T56" i="2"/>
  <c r="O56" i="2"/>
  <c r="Q56" i="2" s="1"/>
  <c r="K56" i="2"/>
  <c r="S56" i="2" s="1"/>
  <c r="V55" i="2"/>
  <c r="T55" i="2"/>
  <c r="Q55" i="2"/>
  <c r="O55" i="2"/>
  <c r="K55" i="2"/>
  <c r="U55" i="2" s="1"/>
  <c r="O54" i="2"/>
  <c r="V54" i="2" s="1"/>
  <c r="K54" i="2"/>
  <c r="S54" i="2" s="1"/>
  <c r="O53" i="2"/>
  <c r="T53" i="2" s="1"/>
  <c r="K53" i="2"/>
  <c r="S53" i="2" s="1"/>
  <c r="U52" i="2"/>
  <c r="S52" i="2"/>
  <c r="Q52" i="2"/>
  <c r="O52" i="2"/>
  <c r="V52" i="2" s="1"/>
  <c r="K52" i="2"/>
  <c r="O51" i="2"/>
  <c r="V51" i="2" s="1"/>
  <c r="K51" i="2"/>
  <c r="S51" i="2" s="1"/>
  <c r="S50" i="2"/>
  <c r="O50" i="2"/>
  <c r="T50" i="2" s="1"/>
  <c r="K50" i="2"/>
  <c r="U50" i="2" s="1"/>
  <c r="V49" i="2"/>
  <c r="U49" i="2"/>
  <c r="T49" i="2"/>
  <c r="S49" i="2"/>
  <c r="Q49" i="2"/>
  <c r="O49" i="2"/>
  <c r="K49" i="2"/>
  <c r="V48" i="2"/>
  <c r="O48" i="2"/>
  <c r="Q48" i="2" s="1"/>
  <c r="K48" i="2"/>
  <c r="U48" i="2" s="1"/>
  <c r="V47" i="2"/>
  <c r="T47" i="2"/>
  <c r="S47" i="2"/>
  <c r="Q47" i="2"/>
  <c r="O47" i="2"/>
  <c r="K47" i="2"/>
  <c r="U47" i="2" s="1"/>
  <c r="V46" i="2"/>
  <c r="U46" i="2"/>
  <c r="T46" i="2"/>
  <c r="S46" i="2"/>
  <c r="O46" i="2"/>
  <c r="Q46" i="2" s="1"/>
  <c r="K46" i="2"/>
  <c r="V45" i="2"/>
  <c r="U45" i="2"/>
  <c r="S45" i="2"/>
  <c r="O45" i="2"/>
  <c r="Q45" i="2" s="1"/>
  <c r="K45" i="2"/>
  <c r="V44" i="2"/>
  <c r="U44" i="2"/>
  <c r="T44" i="2"/>
  <c r="S44" i="2"/>
  <c r="O44" i="2"/>
  <c r="Q44" i="2" s="1"/>
  <c r="K44" i="2"/>
  <c r="V43" i="2"/>
  <c r="U43" i="2"/>
  <c r="T43" i="2"/>
  <c r="O43" i="2"/>
  <c r="Q43" i="2" s="1"/>
  <c r="K43" i="2"/>
  <c r="S43" i="2" s="1"/>
  <c r="V42" i="2"/>
  <c r="U42" i="2"/>
  <c r="T42" i="2"/>
  <c r="S42" i="2"/>
  <c r="Q42" i="2"/>
  <c r="O42" i="2"/>
  <c r="K42" i="2"/>
  <c r="V41" i="2"/>
  <c r="U41" i="2"/>
  <c r="T41" i="2"/>
  <c r="Q41" i="2"/>
  <c r="O41" i="2"/>
  <c r="K41" i="2"/>
  <c r="S41" i="2" s="1"/>
  <c r="V40" i="2"/>
  <c r="O40" i="2"/>
  <c r="T40" i="2" s="1"/>
  <c r="K40" i="2"/>
  <c r="U40" i="2" s="1"/>
  <c r="V39" i="2"/>
  <c r="U39" i="2"/>
  <c r="T39" i="2"/>
  <c r="S39" i="2"/>
  <c r="O39" i="2"/>
  <c r="Q39" i="2" s="1"/>
  <c r="K39" i="2"/>
  <c r="V38" i="2"/>
  <c r="U38" i="2"/>
  <c r="S38" i="2"/>
  <c r="O38" i="2"/>
  <c r="T38" i="2" s="1"/>
  <c r="K38" i="2"/>
  <c r="V37" i="2"/>
  <c r="O37" i="2"/>
  <c r="T37" i="2" s="1"/>
  <c r="K37" i="2"/>
  <c r="U37" i="2" s="1"/>
  <c r="V36" i="2"/>
  <c r="T36" i="2"/>
  <c r="O36" i="2"/>
  <c r="Q36" i="2" s="1"/>
  <c r="K36" i="2"/>
  <c r="S36" i="2" s="1"/>
  <c r="V35" i="2"/>
  <c r="T35" i="2"/>
  <c r="Q35" i="2"/>
  <c r="O35" i="2"/>
  <c r="K35" i="2"/>
  <c r="U35" i="2" s="1"/>
  <c r="O34" i="2"/>
  <c r="V34" i="2" s="1"/>
  <c r="K34" i="2"/>
  <c r="U34" i="2" s="1"/>
  <c r="O33" i="2"/>
  <c r="T33" i="2" s="1"/>
  <c r="K33" i="2"/>
  <c r="S33" i="2" s="1"/>
  <c r="U32" i="2"/>
  <c r="S32" i="2"/>
  <c r="Q32" i="2"/>
  <c r="O32" i="2"/>
  <c r="V32" i="2" s="1"/>
  <c r="K32" i="2"/>
  <c r="O31" i="2"/>
  <c r="V31" i="2" s="1"/>
  <c r="K31" i="2"/>
  <c r="S31" i="2" s="1"/>
  <c r="S30" i="2"/>
  <c r="O30" i="2"/>
  <c r="T30" i="2" s="1"/>
  <c r="K30" i="2"/>
  <c r="U30" i="2" s="1"/>
  <c r="V29" i="2"/>
  <c r="U29" i="2"/>
  <c r="T29" i="2"/>
  <c r="S29" i="2"/>
  <c r="Q29" i="2"/>
  <c r="O29" i="2"/>
  <c r="K29" i="2"/>
  <c r="O28" i="2"/>
  <c r="T28" i="2" s="1"/>
  <c r="K28" i="2"/>
  <c r="S28" i="2" s="1"/>
  <c r="T27" i="2"/>
  <c r="S27" i="2"/>
  <c r="Q27" i="2"/>
  <c r="O27" i="2"/>
  <c r="V27" i="2" s="1"/>
  <c r="K27" i="2"/>
  <c r="U27" i="2" s="1"/>
  <c r="V26" i="2"/>
  <c r="U26" i="2"/>
  <c r="T26" i="2"/>
  <c r="S26" i="2"/>
  <c r="O26" i="2"/>
  <c r="Q26" i="2" s="1"/>
  <c r="K26" i="2"/>
  <c r="V25" i="2"/>
  <c r="U25" i="2"/>
  <c r="S25" i="2"/>
  <c r="O25" i="2"/>
  <c r="T25" i="2" s="1"/>
  <c r="K25" i="2"/>
  <c r="V24" i="2"/>
  <c r="U24" i="2"/>
  <c r="T24" i="2"/>
  <c r="S24" i="2"/>
  <c r="O24" i="2"/>
  <c r="Q24" i="2" s="1"/>
  <c r="K24" i="2"/>
  <c r="V23" i="2"/>
  <c r="U23" i="2"/>
  <c r="T23" i="2"/>
  <c r="O23" i="2"/>
  <c r="Q23" i="2" s="1"/>
  <c r="K23" i="2"/>
  <c r="S23" i="2" s="1"/>
  <c r="V22" i="2"/>
  <c r="U22" i="2"/>
  <c r="T22" i="2"/>
  <c r="S22" i="2"/>
  <c r="Q22" i="2"/>
  <c r="O22" i="2"/>
  <c r="K22" i="2"/>
  <c r="V21" i="2"/>
  <c r="U21" i="2"/>
  <c r="T21" i="2"/>
  <c r="Q21" i="2"/>
  <c r="O21" i="2"/>
  <c r="K21" i="2"/>
  <c r="S21" i="2" s="1"/>
  <c r="V20" i="2"/>
  <c r="O20" i="2"/>
  <c r="T20" i="2" s="1"/>
  <c r="K20" i="2"/>
  <c r="U20" i="2" s="1"/>
  <c r="V19" i="2"/>
  <c r="U19" i="2"/>
  <c r="T19" i="2"/>
  <c r="S19" i="2"/>
  <c r="O19" i="2"/>
  <c r="Q19" i="2" s="1"/>
  <c r="K19" i="2"/>
  <c r="V18" i="2"/>
  <c r="U18" i="2"/>
  <c r="S18" i="2"/>
  <c r="O18" i="2"/>
  <c r="T18" i="2" s="1"/>
  <c r="K18" i="2"/>
  <c r="V17" i="2"/>
  <c r="O17" i="2"/>
  <c r="T17" i="2" s="1"/>
  <c r="K17" i="2"/>
  <c r="U17" i="2" s="1"/>
  <c r="V16" i="2"/>
  <c r="T16" i="2"/>
  <c r="O16" i="2"/>
  <c r="Q16" i="2" s="1"/>
  <c r="K16" i="2"/>
  <c r="S16" i="2" s="1"/>
  <c r="V15" i="2"/>
  <c r="T15" i="2"/>
  <c r="Q15" i="2"/>
  <c r="O15" i="2"/>
  <c r="K15" i="2"/>
  <c r="U15" i="2" s="1"/>
  <c r="V14" i="2"/>
  <c r="O14" i="2"/>
  <c r="Q14" i="2" s="1"/>
  <c r="K14" i="2"/>
  <c r="S14" i="2" s="1"/>
  <c r="V13" i="2"/>
  <c r="O13" i="2"/>
  <c r="T13" i="2" s="1"/>
  <c r="K13" i="2"/>
  <c r="S13" i="2" s="1"/>
  <c r="U12" i="2"/>
  <c r="S12" i="2"/>
  <c r="Q12" i="2"/>
  <c r="O12" i="2"/>
  <c r="V12" i="2" s="1"/>
  <c r="K12" i="2"/>
  <c r="O11" i="2"/>
  <c r="V11" i="2" s="1"/>
  <c r="K11" i="2"/>
  <c r="S11" i="2" s="1"/>
  <c r="S10" i="2"/>
  <c r="O10" i="2"/>
  <c r="T10" i="2" s="1"/>
  <c r="K10" i="2"/>
  <c r="U10" i="2" s="1"/>
  <c r="V9" i="2"/>
  <c r="U9" i="2"/>
  <c r="T9" i="2"/>
  <c r="S9" i="2"/>
  <c r="Q9" i="2"/>
  <c r="O9" i="2"/>
  <c r="K9" i="2"/>
  <c r="V8" i="2"/>
  <c r="O8" i="2"/>
  <c r="T8" i="2" s="1"/>
  <c r="K8" i="2"/>
  <c r="U8" i="2" s="1"/>
  <c r="V7" i="2"/>
  <c r="O7" i="2"/>
  <c r="T7" i="2" s="1"/>
  <c r="K7" i="2"/>
  <c r="U7" i="2" s="1"/>
  <c r="V6" i="2"/>
  <c r="U6" i="2"/>
  <c r="T6" i="2"/>
  <c r="S6" i="2"/>
  <c r="O6" i="2"/>
  <c r="Q6" i="2" s="1"/>
  <c r="K6" i="2"/>
  <c r="V5" i="2"/>
  <c r="U5" i="2"/>
  <c r="S5" i="2"/>
  <c r="O5" i="2"/>
  <c r="Q5" i="2" s="1"/>
  <c r="K5" i="2"/>
  <c r="V4" i="2"/>
  <c r="U4" i="2"/>
  <c r="T4" i="2"/>
  <c r="S4" i="2"/>
  <c r="O4" i="2"/>
  <c r="Q4" i="2" s="1"/>
  <c r="K4" i="2"/>
  <c r="V3" i="2"/>
  <c r="U3" i="2"/>
  <c r="T3" i="2"/>
  <c r="O3" i="2"/>
  <c r="Q3" i="2" s="1"/>
  <c r="K3" i="2"/>
  <c r="S3" i="2" s="1"/>
  <c r="V2" i="2"/>
  <c r="O2" i="2"/>
  <c r="T2" i="2" s="1"/>
  <c r="K2" i="2"/>
  <c r="R26" i="1"/>
  <c r="R25" i="1"/>
  <c r="R24" i="1"/>
  <c r="R23" i="1"/>
  <c r="R22" i="1"/>
  <c r="Q22" i="1"/>
  <c r="L22" i="1"/>
  <c r="R21" i="1"/>
  <c r="R20" i="1"/>
  <c r="L20" i="1"/>
  <c r="E16" i="1"/>
  <c r="A10" i="1"/>
  <c r="P8" i="1"/>
  <c r="G5" i="1"/>
  <c r="D5" i="1"/>
  <c r="A5" i="1"/>
  <c r="Q2" i="2" l="1"/>
  <c r="Q7" i="2"/>
  <c r="S7" i="2"/>
  <c r="B28" i="5"/>
  <c r="M5" i="1" s="1"/>
  <c r="U2" i="2"/>
  <c r="S2" i="2"/>
  <c r="B26" i="5"/>
  <c r="D8" i="1" s="1"/>
  <c r="A6" i="3"/>
  <c r="A7" i="3"/>
  <c r="B4" i="6"/>
  <c r="N2" i="6"/>
  <c r="J6" i="6"/>
  <c r="N7" i="6"/>
  <c r="G5" i="6"/>
  <c r="H5" i="6"/>
  <c r="U13" i="2"/>
  <c r="U56" i="2"/>
  <c r="T45" i="2"/>
  <c r="S48" i="2"/>
  <c r="Q51" i="2"/>
  <c r="S68" i="2"/>
  <c r="Q71" i="2"/>
  <c r="T85" i="2"/>
  <c r="Q2" i="6"/>
  <c r="I5" i="6"/>
  <c r="Q7" i="6"/>
  <c r="N6" i="6"/>
  <c r="O6" i="6"/>
  <c r="F10" i="3" s="1"/>
  <c r="O24" i="1" s="1"/>
  <c r="V30" i="2"/>
  <c r="Q25" i="2"/>
  <c r="U36" i="2"/>
  <c r="S8" i="2"/>
  <c r="T65" i="2"/>
  <c r="U11" i="2"/>
  <c r="T14" i="2"/>
  <c r="S17" i="2"/>
  <c r="V28" i="2"/>
  <c r="U31" i="2"/>
  <c r="T34" i="2"/>
  <c r="S37" i="2"/>
  <c r="Q40" i="2"/>
  <c r="U51" i="2"/>
  <c r="T54" i="2"/>
  <c r="S57" i="2"/>
  <c r="Q60" i="2"/>
  <c r="V68" i="2"/>
  <c r="U71" i="2"/>
  <c r="T74" i="2"/>
  <c r="S77" i="2"/>
  <c r="Q80" i="2"/>
  <c r="G7" i="3"/>
  <c r="Q21" i="1" s="1"/>
  <c r="V50" i="2"/>
  <c r="U76" i="2"/>
  <c r="Q8" i="2"/>
  <c r="Q11" i="2"/>
  <c r="Q34" i="2"/>
  <c r="Q54" i="2"/>
  <c r="T31" i="2"/>
  <c r="T51" i="2"/>
  <c r="S74" i="2"/>
  <c r="Q77" i="2"/>
  <c r="V85" i="2"/>
  <c r="U14" i="2"/>
  <c r="S20" i="2"/>
  <c r="U54" i="2"/>
  <c r="Q30" i="2"/>
  <c r="Q70" i="2"/>
  <c r="U16" i="2"/>
  <c r="Q31" i="2"/>
  <c r="T48" i="2"/>
  <c r="T68" i="2"/>
  <c r="T11" i="2"/>
  <c r="Q17" i="2"/>
  <c r="U28" i="2"/>
  <c r="S34" i="2"/>
  <c r="Q37" i="2"/>
  <c r="Q57" i="2"/>
  <c r="V65" i="2"/>
  <c r="Q20" i="2"/>
  <c r="S40" i="2"/>
  <c r="T57" i="2"/>
  <c r="S60" i="2"/>
  <c r="S80" i="2"/>
  <c r="Q83" i="2"/>
  <c r="T80" i="2"/>
  <c r="S83" i="2"/>
  <c r="N5" i="6"/>
  <c r="Q28" i="2"/>
  <c r="T5" i="2"/>
  <c r="G3" i="6"/>
  <c r="G8" i="6"/>
  <c r="Q10" i="2"/>
  <c r="U53" i="2"/>
  <c r="U73" i="2"/>
  <c r="V33" i="2"/>
  <c r="V53" i="2"/>
  <c r="A8" i="1"/>
  <c r="H3" i="6"/>
  <c r="H8" i="6"/>
  <c r="I3" i="6"/>
  <c r="Q5" i="6"/>
  <c r="I8" i="6"/>
  <c r="J8" i="6" s="1"/>
  <c r="Q50" i="2"/>
  <c r="U33" i="2"/>
  <c r="T12" i="2"/>
  <c r="S15" i="2"/>
  <c r="Q18" i="2"/>
  <c r="T32" i="2"/>
  <c r="S35" i="2"/>
  <c r="Q38" i="2"/>
  <c r="T52" i="2"/>
  <c r="S55" i="2"/>
  <c r="Q58" i="2"/>
  <c r="S75" i="2"/>
  <c r="Q78" i="2"/>
  <c r="V10" i="2"/>
  <c r="J7" i="6" s="1"/>
  <c r="Q64" i="2"/>
  <c r="Q84" i="2"/>
  <c r="B23" i="5"/>
  <c r="M8" i="1" s="1"/>
  <c r="H2" i="6"/>
  <c r="H7" i="6"/>
  <c r="Q13" i="2"/>
  <c r="Q33" i="2"/>
  <c r="Q53" i="2"/>
  <c r="Q73" i="2"/>
  <c r="D17" i="5" l="1"/>
  <c r="J5" i="6"/>
  <c r="K5" i="6" s="1"/>
  <c r="C15" i="5"/>
  <c r="M8" i="6"/>
  <c r="L8" i="6"/>
  <c r="K8" i="6"/>
  <c r="M7" i="6"/>
  <c r="L7" i="6"/>
  <c r="K7" i="6"/>
  <c r="B18" i="5"/>
  <c r="G11" i="3"/>
  <c r="Q25" i="1" s="1"/>
  <c r="P7" i="6"/>
  <c r="P5" i="6"/>
  <c r="G9" i="3"/>
  <c r="Q23" i="1" s="1"/>
  <c r="C19" i="5"/>
  <c r="M6" i="6"/>
  <c r="L6" i="6"/>
  <c r="K6" i="6"/>
  <c r="E10" i="3" s="1"/>
  <c r="M24" i="1" s="1"/>
  <c r="B16" i="5"/>
  <c r="J3" i="6"/>
  <c r="J4" i="6"/>
  <c r="D18" i="5"/>
  <c r="D16" i="5"/>
  <c r="J2" i="6"/>
  <c r="B17" i="5"/>
  <c r="C18" i="5"/>
  <c r="G6" i="3"/>
  <c r="B39" i="5"/>
  <c r="J8" i="1" s="1"/>
  <c r="P2" i="6"/>
  <c r="D15" i="5"/>
  <c r="E13" i="1"/>
  <c r="G10" i="3"/>
  <c r="Q24" i="1" s="1"/>
  <c r="P6" i="6"/>
  <c r="E15" i="1"/>
  <c r="B5" i="6"/>
  <c r="A8" i="3"/>
  <c r="C16" i="5"/>
  <c r="D19" i="5"/>
  <c r="C17" i="5"/>
  <c r="B15" i="5"/>
  <c r="B19" i="5"/>
  <c r="L5" i="6" l="1"/>
  <c r="M5" i="6"/>
  <c r="P5" i="1"/>
  <c r="E14" i="1"/>
  <c r="A9" i="3"/>
  <c r="B6" i="6"/>
  <c r="E11" i="3"/>
  <c r="M25" i="1" s="1"/>
  <c r="O7" i="6"/>
  <c r="F11" i="3" s="1"/>
  <c r="O25" i="1" s="1"/>
  <c r="M3" i="6"/>
  <c r="L3" i="6"/>
  <c r="K3" i="6"/>
  <c r="M2" i="6"/>
  <c r="L2" i="6"/>
  <c r="K2" i="6"/>
  <c r="E12" i="3"/>
  <c r="M26" i="1" s="1"/>
  <c r="O8" i="6"/>
  <c r="F12" i="3" s="1"/>
  <c r="O26" i="1" s="1"/>
  <c r="E9" i="3"/>
  <c r="M23" i="1" s="1"/>
  <c r="O5" i="6"/>
  <c r="F9" i="3" s="1"/>
  <c r="O23" i="1" s="1"/>
  <c r="G13" i="3"/>
  <c r="G17" i="3"/>
  <c r="C17" i="3"/>
  <c r="Q20" i="1"/>
  <c r="M4" i="6"/>
  <c r="L4" i="6"/>
  <c r="K4" i="6"/>
  <c r="E6" i="3" l="1"/>
  <c r="M20" i="1" s="1"/>
  <c r="O2" i="6"/>
  <c r="F6" i="3" s="1"/>
  <c r="O20" i="1" s="1"/>
  <c r="O3" i="6"/>
  <c r="F7" i="3" s="1"/>
  <c r="E7" i="3"/>
  <c r="B7" i="6"/>
  <c r="A10" i="3"/>
  <c r="O4" i="6"/>
  <c r="F8" i="3" s="1"/>
  <c r="O22" i="1" s="1"/>
  <c r="E8" i="3"/>
  <c r="M22" i="1" s="1"/>
  <c r="E11" i="1" l="1"/>
  <c r="M21" i="1"/>
  <c r="E12" i="1"/>
  <c r="O21" i="1"/>
  <c r="A11" i="3"/>
  <c r="B8" i="6"/>
  <c r="A12" i="3" s="1"/>
</calcChain>
</file>

<file path=xl/sharedStrings.xml><?xml version="1.0" encoding="utf-8"?>
<sst xmlns="http://schemas.openxmlformats.org/spreadsheetml/2006/main" count="797" uniqueCount="363">
  <si>
    <t>Latifah's FE Auto-Generated Study Planner</t>
  </si>
  <si>
    <t>The plan adjusts itself. Edit YELLOW cells (inputs + daily availability + Topic Planner). Read GREEN cells. Open Weekly Plan tab to see today's auto-generated task.</t>
  </si>
  <si>
    <t>EXAM DATE</t>
  </si>
  <si>
    <t>DAYS REMAINING</t>
  </si>
  <si>
    <t>WEEKS REMAINING</t>
  </si>
  <si>
    <t>PROGRESS %</t>
  </si>
  <si>
    <t>READINESS</t>
  </si>
  <si>
    <t>NEXT BEST TOPIC</t>
  </si>
  <si>
    <t>COMPLETED HOURS</t>
  </si>
  <si>
    <t>REMAINING HOURS</t>
  </si>
  <si>
    <t>WEEKLY AVAILABLE</t>
  </si>
  <si>
    <t>WEEKLY PLANNED</t>
  </si>
  <si>
    <t>HIGH-PRIORITY REMAINING</t>
  </si>
  <si>
    <t>THIS WEEK</t>
  </si>
  <si>
    <t>Today's Auto-Topic</t>
  </si>
  <si>
    <t>Today's Auto-Task</t>
  </si>
  <si>
    <t>Today's Mode + Length</t>
  </si>
  <si>
    <t>Next Best Topic Overall</t>
  </si>
  <si>
    <t>Why This Topic</t>
  </si>
  <si>
    <t>Low-Energy Backup</t>
  </si>
  <si>
    <t>Essential Inputs</t>
  </si>
  <si>
    <t>Daily Availability  (drives the planner)</t>
  </si>
  <si>
    <t>Weekly Plan Preview</t>
  </si>
  <si>
    <t>Day</t>
  </si>
  <si>
    <t>Min</t>
  </si>
  <si>
    <t>Energy</t>
  </si>
  <si>
    <t>Mode</t>
  </si>
  <si>
    <t>Auto Topic</t>
  </si>
  <si>
    <t>Auto Task</t>
  </si>
  <si>
    <t>Done</t>
  </si>
  <si>
    <t>Student Name</t>
  </si>
  <si>
    <t>Latifah</t>
  </si>
  <si>
    <t>Sunday</t>
  </si>
  <si>
    <t>Normal</t>
  </si>
  <si>
    <t>Exam Date</t>
  </si>
  <si>
    <t>Monday</t>
  </si>
  <si>
    <t>Start Date</t>
  </si>
  <si>
    <t>Tuesday</t>
  </si>
  <si>
    <t>Study Style</t>
  </si>
  <si>
    <t>Flexible</t>
  </si>
  <si>
    <t>Wednesday</t>
  </si>
  <si>
    <t>Min Wkly Hrs</t>
  </si>
  <si>
    <t>Thursday</t>
  </si>
  <si>
    <t>Low Energy</t>
  </si>
  <si>
    <t>Max Wkly Hrs</t>
  </si>
  <si>
    <t>Friday</t>
  </si>
  <si>
    <t>Family</t>
  </si>
  <si>
    <t>Saturday</t>
  </si>
  <si>
    <t>Visual Progress</t>
  </si>
  <si>
    <t>Study Modes Reference</t>
  </si>
  <si>
    <t>Normal Mode  (25-45 min)</t>
  </si>
  <si>
    <t>5 min concept + 20-30 min problems + 5 min correction/log</t>
  </si>
  <si>
    <t>Sun-Thu after work</t>
  </si>
  <si>
    <t>Low-Energy Mode  (10-20 min)</t>
  </si>
  <si>
    <t>Formula lookup + 1-2 examples + flashcards or mistake review</t>
  </si>
  <si>
    <t>Tired evenings - keeps streak alive</t>
  </si>
  <si>
    <t>Family Mode  (20-45 min if available)</t>
  </si>
  <si>
    <t>Light review or mini quiz only - no heavy new theory</t>
  </si>
  <si>
    <t>Friday/Saturday</t>
  </si>
  <si>
    <t>Rest  (0 min)</t>
  </si>
  <si>
    <t>No study required. Recover.</t>
  </si>
  <si>
    <t>Whenever you need it - never punished</t>
  </si>
  <si>
    <t>Include?</t>
  </si>
  <si>
    <t>FE Section</t>
  </si>
  <si>
    <t>Topic / Problem Set</t>
  </si>
  <si>
    <t>Q Range</t>
  </si>
  <si>
    <t>Avg Wt</t>
  </si>
  <si>
    <t>Tier</t>
  </si>
  <si>
    <t>Confidence</t>
  </si>
  <si>
    <t>Difficulty</t>
  </si>
  <si>
    <t>Boredom</t>
  </si>
  <si>
    <t>Quick Win</t>
  </si>
  <si>
    <t>Priority Score</t>
  </si>
  <si>
    <t>Recommended Depth</t>
  </si>
  <si>
    <t>Suggested Hrs</t>
  </si>
  <si>
    <t>Completed Hrs</t>
  </si>
  <si>
    <t>Progress %</t>
  </si>
  <si>
    <t>Status</t>
  </si>
  <si>
    <t>Next Action</t>
  </si>
  <si>
    <t>Notes</t>
  </si>
  <si>
    <t>Yes</t>
  </si>
  <si>
    <t>Mathematics</t>
  </si>
  <si>
    <t>1.1 Algebra and Trigonometry</t>
  </si>
  <si>
    <t>11-17</t>
  </si>
  <si>
    <t>Standard Study</t>
  </si>
  <si>
    <t>Not Started</t>
  </si>
  <si>
    <t>Foundation - quick warm-up sessions</t>
  </si>
  <si>
    <t>1.2 Complex Numbers</t>
  </si>
  <si>
    <t>Deep Study</t>
  </si>
  <si>
    <t>CRITICAL for AC circuits and phasors</t>
  </si>
  <si>
    <t>1.3 Discrete Math &amp; Progressions</t>
  </si>
  <si>
    <t>Fast Review</t>
  </si>
  <si>
    <t>Lower-yield within math chapter</t>
  </si>
  <si>
    <t>1.4 Analytic Geometry</t>
  </si>
  <si>
    <t>Light Review</t>
  </si>
  <si>
    <t>Conics rare on exam</t>
  </si>
  <si>
    <t>1.5 Calculus</t>
  </si>
  <si>
    <t>Derivatives + integrals appear often</t>
  </si>
  <si>
    <t>1.6 Differential Equations</t>
  </si>
  <si>
    <t>Heavy - split into 2 sessions</t>
  </si>
  <si>
    <t>1.7 Matrix and Vector Analysis</t>
  </si>
  <si>
    <t>Linear algebra basics</t>
  </si>
  <si>
    <t>Probability and Statistics</t>
  </si>
  <si>
    <t>2.1 Central Tendencies &amp; Dispersions</t>
  </si>
  <si>
    <t>4-6</t>
  </si>
  <si>
    <t>Calculator-fast - quick win</t>
  </si>
  <si>
    <t>2.2 Permutation, Combination, Probability</t>
  </si>
  <si>
    <t>Watch combination vs permutation</t>
  </si>
  <si>
    <t>2.3 Probability Distributions</t>
  </si>
  <si>
    <t>Normal + binomial - use handbook tables</t>
  </si>
  <si>
    <t>2.4 Expected Values</t>
  </si>
  <si>
    <t>Quick win with weighted-sum</t>
  </si>
  <si>
    <t>Ethics and Professional Practice</t>
  </si>
  <si>
    <t>3.1 Code of Ethics &amp; NCEES Model Law</t>
  </si>
  <si>
    <t>Public welfare beats everything</t>
  </si>
  <si>
    <t>3.2 Intellectual Property</t>
  </si>
  <si>
    <t>Memorize patent / trademark / copyright / trade secret</t>
  </si>
  <si>
    <t>3.3 Safety</t>
  </si>
  <si>
    <t>PPE, hazard vs risk</t>
  </si>
  <si>
    <t>Engineering Economics</t>
  </si>
  <si>
    <t>4.1 Time Value of Money</t>
  </si>
  <si>
    <t>5-8</t>
  </si>
  <si>
    <t>Use FE handbook factor tables</t>
  </si>
  <si>
    <t>4.2 Cost Estimation</t>
  </si>
  <si>
    <t>Fixed vs variable cost basics</t>
  </si>
  <si>
    <t>4.3 Risk Identification &amp; Analysis</t>
  </si>
  <si>
    <t>Break-even, expected value</t>
  </si>
  <si>
    <t>Properties of Electrical Materials</t>
  </si>
  <si>
    <t>5.1 Electrical Properties</t>
  </si>
  <si>
    <t>Memorize key terms only</t>
  </si>
  <si>
    <t>5.2 Thermal Properties</t>
  </si>
  <si>
    <t>Temperature coefficient drill only</t>
  </si>
  <si>
    <t>Circuit Analysis</t>
  </si>
  <si>
    <t>6.1 Kirchhoff Laws (KCL/KVL)</t>
  </si>
  <si>
    <t>Master node and mesh - core skill</t>
  </si>
  <si>
    <t>6.2 Series and Parallel Equivalent Circuits</t>
  </si>
  <si>
    <t>Voltage and current divider</t>
  </si>
  <si>
    <t>6.3 Thevenin and Norton Theorems</t>
  </si>
  <si>
    <t>Source transformation + max power transfer</t>
  </si>
  <si>
    <t>6.4 Waveform Analysis</t>
  </si>
  <si>
    <t>RMS, average, peak</t>
  </si>
  <si>
    <t>6.5 Phasors</t>
  </si>
  <si>
    <t>Polar to rectangular conversion</t>
  </si>
  <si>
    <t>6.6 Impedance</t>
  </si>
  <si>
    <t>R, L, C impedance + AC steady-state</t>
  </si>
  <si>
    <t>Linear Systems</t>
  </si>
  <si>
    <t>7.1 Frequency and Transient Response</t>
  </si>
  <si>
    <t>Time constant, step response</t>
  </si>
  <si>
    <t>7.2 Resonance</t>
  </si>
  <si>
    <t>f0, Q factor, bandwidth</t>
  </si>
  <si>
    <t>7.3 Laplace Transform</t>
  </si>
  <si>
    <t>Use handbook table - heavy</t>
  </si>
  <si>
    <t>7.4 Transfer Functions</t>
  </si>
  <si>
    <t>Poles, zeros, stability</t>
  </si>
  <si>
    <t>Signal Processing</t>
  </si>
  <si>
    <t>8.1 Sampling</t>
  </si>
  <si>
    <t>Nyquist - quick win</t>
  </si>
  <si>
    <t>8.2 Analog Filters</t>
  </si>
  <si>
    <t>Filter type identification</t>
  </si>
  <si>
    <t>8.3 Digital Filters &amp; Z-Transforms</t>
  </si>
  <si>
    <t>Heavy - keep light</t>
  </si>
  <si>
    <t>8.4 Continuous Time Convolution</t>
  </si>
  <si>
    <t>Recognize patterns only</t>
  </si>
  <si>
    <t>8.5 Discrete Time Convolution</t>
  </si>
  <si>
    <t>Table approach</t>
  </si>
  <si>
    <t>Electronics</t>
  </si>
  <si>
    <t>9.1 Semiconductor Materials</t>
  </si>
  <si>
    <t>7-11</t>
  </si>
  <si>
    <t>Doping, p-n basics</t>
  </si>
  <si>
    <t>9.2 Diodes and Thyristors</t>
  </si>
  <si>
    <t>Diode model + rectifiers</t>
  </si>
  <si>
    <t>9.3 Bipolar Junction Transistors (BJTs)</t>
  </si>
  <si>
    <t>Active vs saturation - heavy</t>
  </si>
  <si>
    <t>9.4 JFETs</t>
  </si>
  <si>
    <t>Lower priority - quick pass</t>
  </si>
  <si>
    <t>9.5 MOSFETs</t>
  </si>
  <si>
    <t>Region of operation</t>
  </si>
  <si>
    <t>9.6 Operational Amplifiers</t>
  </si>
  <si>
    <t>HUGE high yield - virtual short rule</t>
  </si>
  <si>
    <t>9.7 Power Electronics</t>
  </si>
  <si>
    <t>Rectifier, inverter, chopper basics</t>
  </si>
  <si>
    <t>9.8 Instrumentation</t>
  </si>
  <si>
    <t>Accuracy vs precision vs resolution</t>
  </si>
  <si>
    <t>Power Systems</t>
  </si>
  <si>
    <t>10.1 Power Theory &amp; Single-Phase Power</t>
  </si>
  <si>
    <t>8-12</t>
  </si>
  <si>
    <t>Power triangle - core skill</t>
  </si>
  <si>
    <t>10.2 Three-Phase Power</t>
  </si>
  <si>
    <t>Wye vs Delta + sqrt(3) factor</t>
  </si>
  <si>
    <t>10.3 Power Factor</t>
  </si>
  <si>
    <t>PF correction with capacitors</t>
  </si>
  <si>
    <t>10.4 Voltage Regulation &amp; Voltage Drop</t>
  </si>
  <si>
    <t>Per-unit basics</t>
  </si>
  <si>
    <t>10.5 Transformers</t>
  </si>
  <si>
    <t>Turns ratio + reflected impedance</t>
  </si>
  <si>
    <t>10.6 Motors and Generators</t>
  </si>
  <si>
    <t>Slip + synchronous speed</t>
  </si>
  <si>
    <t>Electromagnetics</t>
  </si>
  <si>
    <t>11.1 Electrostatics</t>
  </si>
  <si>
    <t>E-field formulas only</t>
  </si>
  <si>
    <t>11.2 Magnetostatics</t>
  </si>
  <si>
    <t>Right-hand rule + B-field</t>
  </si>
  <si>
    <t>11.3 Electrodynamics &amp; Maxwell's Equations</t>
  </si>
  <si>
    <t>Skip Unless Time</t>
  </si>
  <si>
    <t>Recognition only - hardest topic</t>
  </si>
  <si>
    <t>11.4 Wave Propagation</t>
  </si>
  <si>
    <t>Frequency-wavelength-velocity</t>
  </si>
  <si>
    <t>11.5 Transmission Lines</t>
  </si>
  <si>
    <t>Z0 + reflection coefficient only</t>
  </si>
  <si>
    <t>Control Systems</t>
  </si>
  <si>
    <t>12.1 Block Diagrams &amp; Closed/Open-Loop</t>
  </si>
  <si>
    <t>6-9</t>
  </si>
  <si>
    <t>Block reduction technique</t>
  </si>
  <si>
    <t>12.2 Bode Plots</t>
  </si>
  <si>
    <t>Slope rules from poles/zeros</t>
  </si>
  <si>
    <t>12.3 System Stability &amp; Frequency Response</t>
  </si>
  <si>
    <t>Pole location -&gt; stability</t>
  </si>
  <si>
    <t>12.4 Controller Performance</t>
  </si>
  <si>
    <t>Settling time, overshoot, PID</t>
  </si>
  <si>
    <t>Communications</t>
  </si>
  <si>
    <t>13.1 Communication Theory</t>
  </si>
  <si>
    <t>SNR, bandwidth, channel capacity</t>
  </si>
  <si>
    <t>13.2 Amplitude Modulation</t>
  </si>
  <si>
    <t>AM index + bandwidth = 2*fm</t>
  </si>
  <si>
    <t>13.3 Angle Modulation (FM/PM)</t>
  </si>
  <si>
    <t>FM/PM + Carson's rule</t>
  </si>
  <si>
    <t>13.4 Fourier Transforms</t>
  </si>
  <si>
    <t>Use handbook pairs</t>
  </si>
  <si>
    <t>13.5 Digital Communications</t>
  </si>
  <si>
    <t>PCM, bit rate, quantization</t>
  </si>
  <si>
    <t>13.6 Multiplexing</t>
  </si>
  <si>
    <t>TDM/FDM/CDM compare - quick</t>
  </si>
  <si>
    <t>Computer Networks</t>
  </si>
  <si>
    <t>14.1 Routing and Switching</t>
  </si>
  <si>
    <t>Layer 2 vs 3</t>
  </si>
  <si>
    <t>14.2 Network Topologies &amp; Models</t>
  </si>
  <si>
    <t>OSI 7 layers - memorize</t>
  </si>
  <si>
    <t>14.3 IP Addressing (IPv4/IPv6)</t>
  </si>
  <si>
    <t>Subnetting calculation</t>
  </si>
  <si>
    <t>14.4 Protocols (TCP/UDP/ICMP)</t>
  </si>
  <si>
    <t>TCP vs UDP comparison</t>
  </si>
  <si>
    <t>14.5 Network Security</t>
  </si>
  <si>
    <t>CIA triad + firewall basics</t>
  </si>
  <si>
    <t>Digital Systems</t>
  </si>
  <si>
    <t>15.1 Number Systems</t>
  </si>
  <si>
    <t>Binary, hex, two's complement</t>
  </si>
  <si>
    <t>15.2 Boolean Logic</t>
  </si>
  <si>
    <t>De Morgan + simplification</t>
  </si>
  <si>
    <t>15.3 Logic Gates and Circuits</t>
  </si>
  <si>
    <t>Truth table -&gt; expression</t>
  </si>
  <si>
    <t>15.4 Logic Minimization (K-Maps, SOP, POS)</t>
  </si>
  <si>
    <t>Practice grouping rules</t>
  </si>
  <si>
    <t>15.5 Sequential Circuits &amp; Counters</t>
  </si>
  <si>
    <t>Flip-flop characteristic table</t>
  </si>
  <si>
    <t>15.6 Combinational Circuits</t>
  </si>
  <si>
    <t>MUX, decoder, encoder</t>
  </si>
  <si>
    <t>15.7 Programmable Logic Devices</t>
  </si>
  <si>
    <t>PLA/PAL/FPGA - lighter</t>
  </si>
  <si>
    <t>15.8 State Machine Design</t>
  </si>
  <si>
    <t>Mealy vs Moore</t>
  </si>
  <si>
    <t>15.9 Timing</t>
  </si>
  <si>
    <t>Setup/hold + fmax</t>
  </si>
  <si>
    <t>Computer Systems</t>
  </si>
  <si>
    <t>16.1 Microprocessor</t>
  </si>
  <si>
    <t>Registers + instruction cycle</t>
  </si>
  <si>
    <t>16.2 Memory Technology and Systems</t>
  </si>
  <si>
    <t>Address bus size calculation</t>
  </si>
  <si>
    <t>16.3 Architecture and Interfacing</t>
  </si>
  <si>
    <t>Memory-mapped I/O</t>
  </si>
  <si>
    <t>Software Engineering</t>
  </si>
  <si>
    <t>17.1 Algorithms - Complexity &amp; Big-O</t>
  </si>
  <si>
    <t>Identify O(n), O(log n), etc.</t>
  </si>
  <si>
    <t>17.2 Algorithms - Sorting and Searching</t>
  </si>
  <si>
    <t>Binary search + complexity table</t>
  </si>
  <si>
    <t>17.3 Linear Data Structures</t>
  </si>
  <si>
    <t>FIFO vs LIFO basics</t>
  </si>
  <si>
    <t>17.4 Trees and Graphs</t>
  </si>
  <si>
    <t>BFS vs DFS</t>
  </si>
  <si>
    <t>17.5 Software Design &amp; Testing</t>
  </si>
  <si>
    <t>SDLC + test types</t>
  </si>
  <si>
    <t>Weekly Plan  -  Auto-Generated</t>
  </si>
  <si>
    <t>This plan is generated automatically from the Topic Planner priorities + your Dashboard daily availability. Edit only the YELLOW cells (Done?, Actual Min, Notes). To change the plan, change Confidence/Include in Topic Planner or Mode/Minutes/Energy on the Dashboard.</t>
  </si>
  <si>
    <t>A. This Week's Plan</t>
  </si>
  <si>
    <t>Date</t>
  </si>
  <si>
    <t>Avail Min</t>
  </si>
  <si>
    <t>Sugg Min</t>
  </si>
  <si>
    <t>Done?</t>
  </si>
  <si>
    <t>Actual Min</t>
  </si>
  <si>
    <t>No</t>
  </si>
  <si>
    <t>Totals</t>
  </si>
  <si>
    <t>B. Week Capacity &amp; Health</t>
  </si>
  <si>
    <t>Available Hours</t>
  </si>
  <si>
    <t>Planned Hours</t>
  </si>
  <si>
    <t>Done Hours</t>
  </si>
  <si>
    <t>Capacity Status</t>
  </si>
  <si>
    <t>C. Weekly Reflection (Sunday 5-min check-in)</t>
  </si>
  <si>
    <t>What worked this week?</t>
  </si>
  <si>
    <t>What was difficult?</t>
  </si>
  <si>
    <t>Which topic needs more time?</t>
  </si>
  <si>
    <t>What is next week's focus?</t>
  </si>
  <si>
    <t>Low-Energy Tasks</t>
  </si>
  <si>
    <t>Normal Task Templates</t>
  </si>
  <si>
    <t>Family Task Templates</t>
  </si>
  <si>
    <t>WeekdayNum</t>
  </si>
  <si>
    <t>DayName</t>
  </si>
  <si>
    <t>Order</t>
  </si>
  <si>
    <t>FE Handbook formula lookup - 10-15 min</t>
  </si>
  <si>
    <t>Study the core concept, then solve 2-4 examples.</t>
  </si>
  <si>
    <t>Optional light review only.</t>
  </si>
  <si>
    <t>Review one solved example - 10-20 min</t>
  </si>
  <si>
    <t>Review formulas, then practice short FE-style problems.</t>
  </si>
  <si>
    <t>One short review or mini quiz if time allows.</t>
  </si>
  <si>
    <t>Learning</t>
  </si>
  <si>
    <t>Mistake review of last topic - 15-20 min</t>
  </si>
  <si>
    <t>Focus on common mistakes and update confidence.</t>
  </si>
  <si>
    <t>Catch-up only. Do not start a heavy new topic.</t>
  </si>
  <si>
    <t>Practicing</t>
  </si>
  <si>
    <t>Flashcard review - 10-15 min</t>
  </si>
  <si>
    <t>Improving</t>
  </si>
  <si>
    <t>Light Ethics review (3.1, 3.2, 3.3) - 15-20 min</t>
  </si>
  <si>
    <t>Strong</t>
  </si>
  <si>
    <t>Engineering Economics formula drill - 15-25 min</t>
  </si>
  <si>
    <t>Exam Ready</t>
  </si>
  <si>
    <t>Skipped</t>
  </si>
  <si>
    <t>OVERALL PROGRESS</t>
  </si>
  <si>
    <t>Completed Hours</t>
  </si>
  <si>
    <t>Remaining Hours</t>
  </si>
  <si>
    <t>STATUS BREAKDOWN</t>
  </si>
  <si>
    <t>TOP 5 TOPICS</t>
  </si>
  <si>
    <t>Topic</t>
  </si>
  <si>
    <t>Score</t>
  </si>
  <si>
    <t>Section</t>
  </si>
  <si>
    <t>AGGREGATES</t>
  </si>
  <si>
    <t>Total Topics Included</t>
  </si>
  <si>
    <t>High Priority Remaining</t>
  </si>
  <si>
    <t>Total Planned Hours</t>
  </si>
  <si>
    <t>Total Completed Hours</t>
  </si>
  <si>
    <t>Remaining Suggested Hours</t>
  </si>
  <si>
    <t>Overall Progress %</t>
  </si>
  <si>
    <t>Readiness Score %</t>
  </si>
  <si>
    <t>TIER PROGRESS</t>
  </si>
  <si>
    <t>Remaining</t>
  </si>
  <si>
    <t>Tier 1</t>
  </si>
  <si>
    <t>Tier 2</t>
  </si>
  <si>
    <t>Tier 3</t>
  </si>
  <si>
    <t>WEEKLY HOURS</t>
  </si>
  <si>
    <t>Category</t>
  </si>
  <si>
    <t>Hours</t>
  </si>
  <si>
    <t>Available</t>
  </si>
  <si>
    <t>Planned</t>
  </si>
  <si>
    <t>DayIdx</t>
  </si>
  <si>
    <t>AvailMins</t>
  </si>
  <si>
    <t>NormalRank</t>
  </si>
  <si>
    <t>LowEnergyRank</t>
  </si>
  <si>
    <t>FamilyRank</t>
  </si>
  <si>
    <t>TopicIdx</t>
  </si>
  <si>
    <t>TopicName</t>
  </si>
  <si>
    <t>TopicSection</t>
  </si>
  <si>
    <t>TopicTier</t>
  </si>
  <si>
    <t>SuggestedMins</t>
  </si>
  <si>
    <t>AutoTask</t>
  </si>
  <si>
    <t>TooMuch</t>
  </si>
  <si>
    <t>TooLittle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</si>
</sst>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ddd\,\ mmm\ d"/>
  </numFmts>
  <fonts count="25">
    <font>
      <sz val="11"/>
      <color theme="1"/>
      <name val="Calibri"/>
      <family val="2"/>
      <scheme val="minor"/>
    </font>
    <font>
      <b/>
      <sz val="11"/>
      <color rgb="FF1F3864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b/>
      <sz val="11"/>
      <name val="Calibri"/>
    </font>
    <font>
      <b/>
      <sz val="20"/>
      <color rgb="FFFFFFFF"/>
      <name val="Calibri"/>
    </font>
    <font>
      <i/>
      <sz val="10"/>
      <color rgb="FF595959"/>
      <name val="Calibri"/>
    </font>
    <font>
      <b/>
      <sz val="11"/>
      <name val="Calibri"/>
    </font>
    <font>
      <b/>
      <sz val="10"/>
      <color rgb="FF595959"/>
      <name val="Calibri"/>
    </font>
    <font>
      <b/>
      <sz val="14"/>
      <color rgb="FF1F3864"/>
      <name val="Calibri"/>
    </font>
    <font>
      <b/>
      <sz val="11"/>
      <color rgb="FF595959"/>
      <name val="Calibri"/>
    </font>
    <font>
      <b/>
      <sz val="9"/>
      <color rgb="FF595959"/>
      <name val="Calibri"/>
    </font>
    <font>
      <b/>
      <sz val="18"/>
      <color rgb="FF1F3864"/>
      <name val="Calibri"/>
    </font>
    <font>
      <b/>
      <sz val="28"/>
      <color rgb="FF1F3864"/>
      <name val="Calibri"/>
    </font>
    <font>
      <b/>
      <sz val="12"/>
      <color rgb="FF1F3864"/>
      <name val="Calibri"/>
    </font>
    <font>
      <b/>
      <sz val="24"/>
      <color rgb="FF1F3864"/>
      <name val="Calibri"/>
    </font>
    <font>
      <b/>
      <sz val="28"/>
      <color rgb="FF9C0006"/>
      <name val="Calibri"/>
    </font>
    <font>
      <b/>
      <sz val="14"/>
      <color rgb="FF375623"/>
      <name val="Calibri"/>
    </font>
    <font>
      <b/>
      <sz val="12"/>
      <color rgb="FFFFFFFF"/>
      <name val="Calibri"/>
    </font>
    <font>
      <sz val="11"/>
      <color rgb="FF1F3864"/>
      <name val="Calibri"/>
    </font>
    <font>
      <b/>
      <sz val="11"/>
      <color rgb="FF262626"/>
      <name val="Calibri"/>
    </font>
    <font>
      <sz val="10"/>
      <name val="Calibri"/>
    </font>
    <font>
      <i/>
      <sz val="10"/>
      <color rgb="FF59595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/>
    <xf numFmtId="0" fontId="5" fillId="8" borderId="0" xfId="0" applyFont="1" applyFill="1"/>
    <xf numFmtId="164" fontId="0" fillId="0" borderId="0" xfId="0" applyNumberFormat="1"/>
    <xf numFmtId="0" fontId="6" fillId="0" borderId="0" xfId="0" applyFont="1"/>
    <xf numFmtId="2" fontId="0" fillId="0" borderId="0" xfId="0" applyNumberFormat="1"/>
    <xf numFmtId="9" fontId="0" fillId="0" borderId="0" xfId="0" applyNumberFormat="1"/>
    <xf numFmtId="165" fontId="0" fillId="0" borderId="0" xfId="0" applyNumberFormat="1"/>
    <xf numFmtId="0" fontId="21" fillId="4" borderId="2" xfId="0" applyFont="1" applyFill="1" applyBorder="1" applyAlignment="1">
      <alignment horizontal="left" vertical="center" wrapText="1" indent="1"/>
    </xf>
    <xf numFmtId="0" fontId="0" fillId="0" borderId="6" xfId="0" applyBorder="1"/>
    <xf numFmtId="0" fontId="0" fillId="0" borderId="5" xfId="0" applyBorder="1"/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0" fontId="0" fillId="0" borderId="0" xfId="0"/>
    <xf numFmtId="0" fontId="5" fillId="11" borderId="2" xfId="0" applyFont="1" applyFill="1" applyBorder="1" applyAlignment="1">
      <alignment horizontal="left" vertical="center" wrapText="1" indent="1"/>
    </xf>
    <xf numFmtId="0" fontId="0" fillId="11" borderId="2" xfId="0" applyFill="1" applyBorder="1" applyAlignment="1">
      <alignment horizontal="left" vertical="center" wrapText="1" indent="1"/>
    </xf>
    <xf numFmtId="0" fontId="23" fillId="4" borderId="2" xfId="0" applyFont="1" applyFill="1" applyBorder="1" applyAlignment="1">
      <alignment horizontal="left" vertical="center" wrapText="1" indent="1"/>
    </xf>
    <xf numFmtId="0" fontId="16" fillId="10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2" fillId="9" borderId="1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3" fillId="10" borderId="7" xfId="0" applyFont="1" applyFill="1" applyBorder="1" applyAlignment="1">
      <alignment horizontal="center" vertical="center"/>
    </xf>
    <xf numFmtId="0" fontId="0" fillId="0" borderId="7" xfId="0" applyBorder="1"/>
    <xf numFmtId="9" fontId="15" fillId="10" borderId="8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14" fillId="10" borderId="8" xfId="0" applyNumberFormat="1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left" vertical="center" wrapText="1" indent="1"/>
    </xf>
    <xf numFmtId="1" fontId="15" fillId="10" borderId="8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indent="1"/>
    </xf>
    <xf numFmtId="164" fontId="17" fillId="10" borderId="8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indent="1"/>
    </xf>
    <xf numFmtId="0" fontId="19" fillId="10" borderId="8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164" fontId="15" fillId="10" borderId="8" xfId="0" applyNumberFormat="1" applyFont="1" applyFill="1" applyBorder="1" applyAlignment="1">
      <alignment horizontal="center" vertical="center" wrapText="1"/>
    </xf>
    <xf numFmtId="165" fontId="22" fillId="3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 indent="1"/>
    </xf>
    <xf numFmtId="1" fontId="18" fillId="10" borderId="8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 inden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color rgb="FF375623"/>
      </font>
      <fill>
        <patternFill patternType="solid">
          <fgColor rgb="FFC6E0B4"/>
        </patternFill>
      </fill>
    </dxf>
    <dxf>
      <font>
        <b/>
        <color rgb="FF9C0006"/>
      </font>
      <fill>
        <patternFill patternType="solid">
          <fgColor rgb="FFF8CBAD"/>
        </patternFill>
      </fill>
    </dxf>
    <dxf>
      <font>
        <b/>
        <color rgb="FF806000"/>
      </font>
      <fill>
        <patternFill patternType="solid">
          <fgColor rgb="FFFFE699"/>
        </patternFill>
      </fill>
    </dxf>
    <dxf>
      <fill>
        <patternFill patternType="solid">
          <fgColor rgb="FFFFF8DC"/>
        </patternFill>
      </fill>
    </dxf>
    <dxf>
      <fill>
        <patternFill patternType="solid">
          <fgColor rgb="FFFFE4E1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2F8F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ont>
        <b/>
        <color rgb="FF375623"/>
      </font>
      <fill>
        <patternFill patternType="solid">
          <fgColor rgb="FFC6E0B4"/>
        </patternFill>
      </fill>
    </dxf>
    <dxf>
      <fill>
        <patternFill patternType="solid">
          <fgColor rgb="FFFFF8DC"/>
        </patternFill>
      </fill>
    </dxf>
    <dxf>
      <fill>
        <patternFill patternType="solid">
          <fgColor rgb="FFFFE4E1"/>
        </patternFill>
      </fill>
    </dxf>
    <dxf>
      <fill>
        <patternFill patternType="solid">
          <fgColor rgb="FFD9D9D9"/>
        </patternFill>
      </fill>
    </dxf>
    <dxf>
      <font>
        <b/>
        <sz val="28"/>
        <color rgb="FF375623"/>
      </font>
      <fill>
        <patternFill patternType="solid">
          <fgColor rgb="FFC6E0B4"/>
        </patternFill>
      </fill>
    </dxf>
    <dxf>
      <font>
        <b/>
        <sz val="28"/>
        <color rgb="FF806000"/>
      </font>
      <fill>
        <patternFill patternType="solid">
          <fgColor rgb="FFFFE699"/>
        </patternFill>
      </fill>
    </dxf>
    <dxf>
      <font>
        <b/>
        <sz val="28"/>
        <color rgb="FF9C0006"/>
      </font>
      <fill>
        <patternFill patternType="solid">
          <fgColor rgb="FFF8CBAD"/>
        </patternFill>
      </fill>
    </dxf>
    <dxf>
      <font>
        <b/>
        <sz val="28"/>
        <color rgb="FF806000"/>
      </font>
      <fill>
        <patternFill patternType="solid">
          <fgColor rgb="FFFFE699"/>
        </patternFill>
      </fill>
    </dxf>
    <dxf>
      <font>
        <b/>
        <sz val="28"/>
        <color rgb="FF9C0006"/>
      </font>
      <fill>
        <patternFill patternType="solid">
          <fgColor rgb="FFF8CBAD"/>
        </patternFill>
      </fill>
    </dxf>
    <dxf>
      <font>
        <b/>
        <sz val="28"/>
        <color rgb="FF806000"/>
      </font>
      <fill>
        <patternFill patternType="solid">
          <fgColor rgb="FFFFE699"/>
        </patternFill>
      </fill>
    </dxf>
    <dxf>
      <font>
        <b/>
        <sz val="28"/>
        <color rgb="FF9C0006"/>
      </font>
      <fill>
        <patternFill patternType="solid">
          <fgColor rgb="FFF8CBAD"/>
        </patternFill>
      </fill>
    </dxf>
    <dxf>
      <font>
        <b/>
        <sz val="28"/>
        <color rgb="FF375623"/>
      </font>
      <fill>
        <patternFill patternType="solid">
          <fgColor rgb="FFC6E0B4"/>
        </patternFill>
      </fill>
    </dxf>
    <dxf>
      <font>
        <b/>
        <sz val="28"/>
        <color rgb="FF806000"/>
      </font>
      <fill>
        <patternFill patternType="solid">
          <fgColor rgb="FFFFE699"/>
        </patternFill>
      </fill>
    </dxf>
    <dxf>
      <font>
        <b/>
        <sz val="28"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Progress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29-4010-86E5-755C87431101}"/>
              </c:ext>
            </c:extLst>
          </c:dPt>
          <c:dPt>
            <c:idx val="1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29-4010-86E5-755C8743110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_Calc!$A$2:$A$3</c:f>
              <c:strCache>
                <c:ptCount val="2"/>
                <c:pt idx="0">
                  <c:v>Completed Hours</c:v>
                </c:pt>
                <c:pt idx="1">
                  <c:v>Remaining Hours</c:v>
                </c:pt>
              </c:strCache>
            </c:strRef>
          </c:cat>
          <c:val>
            <c:numRef>
              <c:f>_Calc!$B$2:$B$3</c:f>
              <c:numCache>
                <c:formatCode>0.0</c:formatCode>
                <c:ptCount val="2"/>
                <c:pt idx="0">
                  <c:v>0</c:v>
                </c:pt>
                <c:pt idx="1">
                  <c:v>150.5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29-4010-86E5-755C87431101}"/>
            </c:ext>
          </c:extLst>
        </c:ser>
        <c:dLbls>
          <c:showLegendKey val="1"/>
          <c:showVal val="1"/>
          <c:showCatName val="0"/>
          <c:showSerName val="0"/>
          <c:showPercent val="0"/>
          <c:showBubbleSize val="1"/>
          <c:showLeaderLines val="1"/>
        </c:dLbls>
        <c:firstSliceAng val="0"/>
        <c:holeSize val="55"/>
      </c:doughnut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5 by Priority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_Calc!$C$14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_Calc!$B$15:$B$19</c:f>
              <c:strCache>
                <c:ptCount val="5"/>
                <c:pt idx="0">
                  <c:v>6.4 Waveform Analysis</c:v>
                </c:pt>
                <c:pt idx="1">
                  <c:v>6.6 Impedance</c:v>
                </c:pt>
                <c:pt idx="2">
                  <c:v>6.5 Phasors</c:v>
                </c:pt>
                <c:pt idx="3">
                  <c:v>6.3 Thevenin and Norton Theorems</c:v>
                </c:pt>
                <c:pt idx="4">
                  <c:v>6.2 Series and Parallel Equivalent Circuits</c:v>
                </c:pt>
              </c:strCache>
            </c:strRef>
          </c:cat>
          <c:val>
            <c:numRef>
              <c:f>_Calc!$C$15:$C$19</c:f>
              <c:numCache>
                <c:formatCode>0.00</c:formatCode>
                <c:ptCount val="5"/>
                <c:pt idx="0">
                  <c:v>7.35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D0-4880-96BB-2118F1FD6886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Topic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_Calc!$B$5</c:f>
              <c:strCache>
                <c:ptCount val="1"/>
              </c:strCache>
            </c:strRef>
          </c:tx>
          <c:spPr>
            <a:solidFill>
              <a:srgbClr val="BF8F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_Calc!$A$6:$A$12</c:f>
              <c:strCache>
                <c:ptCount val="7"/>
                <c:pt idx="0">
                  <c:v>Not Started</c:v>
                </c:pt>
                <c:pt idx="1">
                  <c:v>Learning</c:v>
                </c:pt>
                <c:pt idx="2">
                  <c:v>Practicing</c:v>
                </c:pt>
                <c:pt idx="3">
                  <c:v>Improving</c:v>
                </c:pt>
                <c:pt idx="4">
                  <c:v>Strong</c:v>
                </c:pt>
                <c:pt idx="5">
                  <c:v>Exam Ready</c:v>
                </c:pt>
                <c:pt idx="6">
                  <c:v>Skipped</c:v>
                </c:pt>
              </c:strCache>
            </c:strRef>
          </c:cat>
          <c:val>
            <c:numRef>
              <c:f>_Calc!$B$6:$B$12</c:f>
              <c:numCache>
                <c:formatCode>General</c:formatCode>
                <c:ptCount val="7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E1-458A-9F59-BB453860E180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Hours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_Calc!$B$37</c:f>
              <c:strCache>
                <c:ptCount val="1"/>
                <c:pt idx="0">
                  <c:v>Hours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EF-43BB-97D2-67380A687C77}"/>
              </c:ext>
            </c:extLst>
          </c:dPt>
          <c:dPt>
            <c:idx val="1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EF-43BB-97D2-67380A687C7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_Calc!$A$38:$A$39</c:f>
              <c:strCache>
                <c:ptCount val="2"/>
                <c:pt idx="0">
                  <c:v>Available</c:v>
                </c:pt>
                <c:pt idx="1">
                  <c:v>Planned</c:v>
                </c:pt>
              </c:strCache>
            </c:strRef>
          </c:cat>
          <c:val>
            <c:numRef>
              <c:f>_Calc!$B$38:$B$39</c:f>
              <c:numCache>
                <c:formatCode>0.0</c:formatCode>
                <c:ptCount val="2"/>
                <c:pt idx="0">
                  <c:v>3.8</c:v>
                </c:pt>
                <c:pt idx="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F-43BB-97D2-67380A687C77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28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43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showGridLines="0" tabSelected="1" workbookViewId="0">
      <pane ySplit="3" topLeftCell="A4" activePane="bottomLeft" state="frozen"/>
      <selection pane="bottomLeft" activeCell="Q35" sqref="Q35"/>
    </sheetView>
  </sheetViews>
  <sheetFormatPr defaultRowHeight="14.4"/>
  <cols>
    <col min="1" max="18" width="11" customWidth="1"/>
  </cols>
  <sheetData>
    <row r="1" spans="1:18" ht="36" customHeight="1">
      <c r="A1" s="53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2.05" customHeight="1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6" customHeight="1"/>
    <row r="4" spans="1:18" ht="18" customHeight="1">
      <c r="A4" s="44" t="s">
        <v>2</v>
      </c>
      <c r="B4" s="45"/>
      <c r="C4" s="45"/>
      <c r="D4" s="44" t="s">
        <v>3</v>
      </c>
      <c r="E4" s="45"/>
      <c r="F4" s="45"/>
      <c r="G4" s="44" t="s">
        <v>4</v>
      </c>
      <c r="H4" s="45"/>
      <c r="I4" s="45"/>
      <c r="J4" s="44" t="s">
        <v>5</v>
      </c>
      <c r="K4" s="45"/>
      <c r="L4" s="45"/>
      <c r="M4" s="44" t="s">
        <v>6</v>
      </c>
      <c r="N4" s="45"/>
      <c r="O4" s="45"/>
      <c r="P4" s="44" t="s">
        <v>7</v>
      </c>
      <c r="Q4" s="45"/>
      <c r="R4" s="45"/>
    </row>
    <row r="5" spans="1:18" ht="37.950000000000003" customHeight="1">
      <c r="A5" s="48">
        <f>C21</f>
        <v>46234</v>
      </c>
      <c r="B5" s="40"/>
      <c r="C5" s="40"/>
      <c r="D5" s="50">
        <f ca="1">C21-TODAY()</f>
        <v>74</v>
      </c>
      <c r="E5" s="40"/>
      <c r="F5" s="40"/>
      <c r="G5" s="56">
        <f ca="1">ROUND((C21-TODAY())/7,1)</f>
        <v>10.6</v>
      </c>
      <c r="H5" s="40"/>
      <c r="I5" s="40"/>
      <c r="J5" s="46">
        <f>ProgressPct</f>
        <v>0</v>
      </c>
      <c r="K5" s="40"/>
      <c r="L5" s="40"/>
      <c r="M5" s="46">
        <f>ReadinessPct</f>
        <v>0</v>
      </c>
      <c r="N5" s="40"/>
      <c r="O5" s="40"/>
      <c r="P5" s="39" t="str">
        <f>_Calc!B15</f>
        <v>6.4 Waveform Analysis</v>
      </c>
      <c r="Q5" s="40"/>
      <c r="R5" s="40"/>
    </row>
    <row r="6" spans="1:18" ht="6" customHeight="1"/>
    <row r="7" spans="1:18" ht="18" customHeight="1">
      <c r="A7" s="44" t="s">
        <v>8</v>
      </c>
      <c r="B7" s="45"/>
      <c r="C7" s="45"/>
      <c r="D7" s="44" t="s">
        <v>9</v>
      </c>
      <c r="E7" s="45"/>
      <c r="F7" s="45"/>
      <c r="G7" s="44" t="s">
        <v>10</v>
      </c>
      <c r="H7" s="45"/>
      <c r="I7" s="45"/>
      <c r="J7" s="44" t="s">
        <v>11</v>
      </c>
      <c r="K7" s="45"/>
      <c r="L7" s="45"/>
      <c r="M7" s="44" t="s">
        <v>12</v>
      </c>
      <c r="N7" s="45"/>
      <c r="O7" s="45"/>
      <c r="P7" s="44" t="s">
        <v>13</v>
      </c>
      <c r="Q7" s="45"/>
      <c r="R7" s="45"/>
    </row>
    <row r="8" spans="1:18" ht="37.950000000000003" customHeight="1">
      <c r="A8" s="52">
        <f>CompletedHrs</f>
        <v>0</v>
      </c>
      <c r="B8" s="40"/>
      <c r="C8" s="40"/>
      <c r="D8" s="52">
        <f>RemainingHrs</f>
        <v>150.5</v>
      </c>
      <c r="E8" s="40"/>
      <c r="F8" s="40"/>
      <c r="G8" s="52">
        <f>WeeklyAvail</f>
        <v>3.8</v>
      </c>
      <c r="H8" s="40"/>
      <c r="I8" s="40"/>
      <c r="J8" s="52">
        <f>WeeklyPlanned</f>
        <v>3.8</v>
      </c>
      <c r="K8" s="40"/>
      <c r="L8" s="40"/>
      <c r="M8" s="59">
        <f>HighPriRem</f>
        <v>37</v>
      </c>
      <c r="N8" s="40"/>
      <c r="O8" s="40"/>
      <c r="P8" s="54" t="str">
        <f>COUNTIF(WeeklyPlanDone,"Yes")&amp;" / 7 done"</f>
        <v>0 / 7 done</v>
      </c>
      <c r="Q8" s="40"/>
      <c r="R8" s="40"/>
    </row>
    <row r="9" spans="1:18" ht="12" customHeight="1"/>
    <row r="10" spans="1:18" ht="25.95" customHeight="1">
      <c r="A10" s="51" t="str">
        <f ca="1">"What Should I Study Next?  -  Today is "&amp;TEXT(TODAY(),"dddd, mmm d")</f>
        <v>What Should I Study Next?  -  Today is Monday, May 18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3"/>
    </row>
    <row r="11" spans="1:18" ht="25.95" customHeight="1">
      <c r="A11" s="32" t="s">
        <v>14</v>
      </c>
      <c r="B11" s="29"/>
      <c r="C11" s="29"/>
      <c r="D11" s="30"/>
      <c r="E11" s="58" t="str">
        <f ca="1">IF(INDEX(WeeklyPlanTopic,WEEKDAY(TODAY(),1))="","Rest day. No specific topic.",INDEX(WeeklyPlanTopic,WEEKDAY(TODAY(),1)))</f>
        <v>6.6 Impedance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22.05" customHeight="1">
      <c r="A12" s="32" t="s">
        <v>15</v>
      </c>
      <c r="B12" s="29"/>
      <c r="C12" s="29"/>
      <c r="D12" s="30"/>
      <c r="E12" s="28" t="str">
        <f ca="1">INDEX(WeeklyPlanTask,WEEKDAY(TODAY(),1))</f>
        <v>Review formulas, then practice short FE-style problems. Topic: 6.6 Impedance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8" ht="22.05" customHeight="1">
      <c r="A13" s="32" t="s">
        <v>16</v>
      </c>
      <c r="B13" s="29"/>
      <c r="C13" s="29"/>
      <c r="D13" s="30"/>
      <c r="E13" s="28" t="str">
        <f ca="1">INDEX(WeeklyPlanMode,WEEKDAY(TODAY(),1))&amp;"  -  "&amp;INDEX(WeeklyPlanMins,WEEKDAY(TODAY(),1))&amp;" minutes"</f>
        <v>Normal  -  35 minutes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</row>
    <row r="14" spans="1:18" ht="22.05" customHeight="1">
      <c r="A14" s="32" t="s">
        <v>17</v>
      </c>
      <c r="B14" s="29"/>
      <c r="C14" s="29"/>
      <c r="D14" s="30"/>
      <c r="E14" s="28" t="str">
        <f>_Calc!B15&amp;"  ("&amp;_Calc!D15&amp;", priority "&amp;TEXT(_Calc!C15,"0.00")&amp;")"</f>
        <v>6.4 Waveform Analysis  (Circuit Analysis, priority 7.35)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/>
    </row>
    <row r="15" spans="1:18" ht="22.05" customHeight="1">
      <c r="A15" s="32" t="s">
        <v>18</v>
      </c>
      <c r="B15" s="29"/>
      <c r="C15" s="29"/>
      <c r="D15" s="30"/>
      <c r="E15" s="28" t="str">
        <f>IF(INDEX(TopicWeight,MATCH(LARGE(PriorityKey,1),PriorityKey,0))&gt;=10,"High exam weight - core scoring chapter",IF(INDEX(TopicConf,MATCH(LARGE(PriorityKey,1),PriorityKey,0))&lt;=2,"Low confidence + high value - high gain",IF(INDEX(TopicQuickWin,MATCH(LARGE(PriorityKey,1),PriorityKey,0))&gt;=4,"Quick win - low effort, high return",IF(INDEX(TopicTier,MATCH(LARGE(PriorityKey,1),PriorityKey,0))=1,"Tier 1 must-cover topic","Strong supporting topic"))))</f>
        <v>High exam weight - core scoring chapter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/>
    </row>
    <row r="16" spans="1:18" ht="22.05" customHeight="1">
      <c r="A16" s="32" t="s">
        <v>19</v>
      </c>
      <c r="B16" s="29"/>
      <c r="C16" s="29"/>
      <c r="D16" s="30"/>
      <c r="E16" s="28" t="str">
        <f>"Try: "&amp;INDEX(LowEnergyTasks,1)</f>
        <v>Try: FE Handbook formula lookup - 10-15 min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</row>
    <row r="17" spans="1:18" ht="7.95" customHeight="1"/>
    <row r="18" spans="1:18" ht="22.05" customHeight="1">
      <c r="A18" s="41" t="s">
        <v>20</v>
      </c>
      <c r="B18" s="42"/>
      <c r="C18" s="42"/>
      <c r="D18" s="43"/>
      <c r="E18" s="41" t="s">
        <v>21</v>
      </c>
      <c r="F18" s="42"/>
      <c r="G18" s="42"/>
      <c r="H18" s="42"/>
      <c r="I18" s="42"/>
      <c r="J18" s="42"/>
      <c r="K18" s="43"/>
      <c r="L18" s="41" t="s">
        <v>22</v>
      </c>
      <c r="M18" s="42"/>
      <c r="N18" s="42"/>
      <c r="O18" s="42"/>
      <c r="P18" s="42"/>
      <c r="Q18" s="42"/>
      <c r="R18" s="43"/>
    </row>
    <row r="19" spans="1:18" ht="22.05" customHeight="1">
      <c r="E19" s="47" t="s">
        <v>23</v>
      </c>
      <c r="F19" s="47"/>
      <c r="G19" s="1" t="s">
        <v>24</v>
      </c>
      <c r="H19" s="1" t="s">
        <v>25</v>
      </c>
      <c r="I19" s="47" t="s">
        <v>26</v>
      </c>
      <c r="J19" s="47"/>
      <c r="K19" s="47"/>
      <c r="L19" s="1" t="s">
        <v>23</v>
      </c>
      <c r="M19" s="47" t="s">
        <v>27</v>
      </c>
      <c r="N19" s="47"/>
      <c r="O19" s="47" t="s">
        <v>28</v>
      </c>
      <c r="P19" s="47"/>
      <c r="Q19" s="1" t="s">
        <v>24</v>
      </c>
      <c r="R19" s="1" t="s">
        <v>29</v>
      </c>
    </row>
    <row r="20" spans="1:18" ht="28.05" customHeight="1">
      <c r="A20" s="32" t="s">
        <v>30</v>
      </c>
      <c r="B20" s="30"/>
      <c r="C20" s="55" t="s">
        <v>31</v>
      </c>
      <c r="D20" s="30"/>
      <c r="E20" s="31" t="s">
        <v>32</v>
      </c>
      <c r="F20" s="30"/>
      <c r="G20" s="2">
        <v>30</v>
      </c>
      <c r="H20" s="2">
        <v>2</v>
      </c>
      <c r="I20" s="33" t="s">
        <v>33</v>
      </c>
      <c r="J20" s="29"/>
      <c r="K20" s="30"/>
      <c r="L20" s="3" t="str">
        <f>INDEX(WeeklyPlanDay,1)</f>
        <v>Sunday</v>
      </c>
      <c r="M20" s="38" t="str">
        <f>INDEX(WeeklyPlanTopic,1)</f>
        <v>6.4 Waveform Analysis</v>
      </c>
      <c r="N20" s="35"/>
      <c r="O20" s="38" t="str">
        <f>INDEX(WeeklyPlanTask,1)</f>
        <v>Study the core concept, then solve 2-4 examples. Topic: 6.4 Waveform Analysis</v>
      </c>
      <c r="P20" s="35"/>
      <c r="Q20" s="4">
        <f>INDEX(WeeklyPlanMins,1)</f>
        <v>30</v>
      </c>
      <c r="R20" s="4" t="str">
        <f>INDEX(WeeklyPlanDone,1)</f>
        <v>No</v>
      </c>
    </row>
    <row r="21" spans="1:18" ht="28.05" customHeight="1">
      <c r="A21" s="32" t="s">
        <v>34</v>
      </c>
      <c r="B21" s="30"/>
      <c r="C21" s="57">
        <v>46234</v>
      </c>
      <c r="D21" s="30"/>
      <c r="E21" s="31" t="s">
        <v>35</v>
      </c>
      <c r="F21" s="30"/>
      <c r="G21" s="2">
        <v>35</v>
      </c>
      <c r="H21" s="2">
        <v>3</v>
      </c>
      <c r="I21" s="33" t="s">
        <v>33</v>
      </c>
      <c r="J21" s="29"/>
      <c r="K21" s="30"/>
      <c r="L21" s="3" t="str">
        <f>INDEX(WeeklyPlanDay,2)</f>
        <v>Monday</v>
      </c>
      <c r="M21" s="38" t="str">
        <f>INDEX(WeeklyPlanTopic,2)</f>
        <v>6.6 Impedance</v>
      </c>
      <c r="N21" s="35"/>
      <c r="O21" s="38" t="str">
        <f>INDEX(WeeklyPlanTask,2)</f>
        <v>Review formulas, then practice short FE-style problems. Topic: 6.6 Impedance</v>
      </c>
      <c r="P21" s="35"/>
      <c r="Q21" s="4">
        <f>INDEX(WeeklyPlanMins,2)</f>
        <v>35</v>
      </c>
      <c r="R21" s="4" t="str">
        <f>INDEX(WeeklyPlanDone,2)</f>
        <v>No</v>
      </c>
    </row>
    <row r="22" spans="1:18" ht="28.05" customHeight="1">
      <c r="A22" s="32" t="s">
        <v>36</v>
      </c>
      <c r="B22" s="30"/>
      <c r="C22" s="57">
        <v>46160</v>
      </c>
      <c r="D22" s="30"/>
      <c r="E22" s="31" t="s">
        <v>37</v>
      </c>
      <c r="F22" s="30"/>
      <c r="G22" s="2">
        <v>30</v>
      </c>
      <c r="H22" s="2">
        <v>2</v>
      </c>
      <c r="I22" s="33" t="s">
        <v>33</v>
      </c>
      <c r="J22" s="29"/>
      <c r="K22" s="30"/>
      <c r="L22" s="3" t="str">
        <f>INDEX(WeeklyPlanDay,3)</f>
        <v>Tuesday</v>
      </c>
      <c r="M22" s="38" t="str">
        <f>INDEX(WeeklyPlanTopic,3)</f>
        <v>6.5 Phasors</v>
      </c>
      <c r="N22" s="35"/>
      <c r="O22" s="38" t="str">
        <f>INDEX(WeeklyPlanTask,3)</f>
        <v>Focus on common mistakes and update confidence. Topic: 6.5 Phasors</v>
      </c>
      <c r="P22" s="35"/>
      <c r="Q22" s="4">
        <f>INDEX(WeeklyPlanMins,3)</f>
        <v>30</v>
      </c>
      <c r="R22" s="4" t="str">
        <f>INDEX(WeeklyPlanDone,3)</f>
        <v>No</v>
      </c>
    </row>
    <row r="23" spans="1:18" ht="28.05" customHeight="1">
      <c r="A23" s="32" t="s">
        <v>38</v>
      </c>
      <c r="B23" s="30"/>
      <c r="C23" s="55" t="s">
        <v>39</v>
      </c>
      <c r="D23" s="30"/>
      <c r="E23" s="31" t="s">
        <v>40</v>
      </c>
      <c r="F23" s="30"/>
      <c r="G23" s="2">
        <v>35</v>
      </c>
      <c r="H23" s="2">
        <v>3</v>
      </c>
      <c r="I23" s="33" t="s">
        <v>33</v>
      </c>
      <c r="J23" s="29"/>
      <c r="K23" s="30"/>
      <c r="L23" s="3" t="str">
        <f>INDEX(WeeklyPlanDay,4)</f>
        <v>Wednesday</v>
      </c>
      <c r="M23" s="38" t="str">
        <f>INDEX(WeeklyPlanTopic,4)</f>
        <v>6.3 Thevenin and Norton Theorems</v>
      </c>
      <c r="N23" s="35"/>
      <c r="O23" s="38" t="str">
        <f>INDEX(WeeklyPlanTask,4)</f>
        <v>Study the core concept, then solve 2-4 examples. Topic: 6.3 Thevenin and Norton Theorems</v>
      </c>
      <c r="P23" s="35"/>
      <c r="Q23" s="4">
        <f>INDEX(WeeklyPlanMins,4)</f>
        <v>35</v>
      </c>
      <c r="R23" s="4" t="str">
        <f>INDEX(WeeklyPlanDone,4)</f>
        <v>No</v>
      </c>
    </row>
    <row r="24" spans="1:18" ht="28.05" customHeight="1">
      <c r="A24" s="32" t="s">
        <v>41</v>
      </c>
      <c r="B24" s="30"/>
      <c r="C24" s="55">
        <v>5</v>
      </c>
      <c r="D24" s="30"/>
      <c r="E24" s="31" t="s">
        <v>42</v>
      </c>
      <c r="F24" s="30"/>
      <c r="G24" s="2">
        <v>25</v>
      </c>
      <c r="H24" s="2">
        <v>2</v>
      </c>
      <c r="I24" s="33" t="s">
        <v>43</v>
      </c>
      <c r="J24" s="29"/>
      <c r="K24" s="30"/>
      <c r="L24" s="3" t="str">
        <f>INDEX(WeeklyPlanDay,5)</f>
        <v>Thursday</v>
      </c>
      <c r="M24" s="38" t="str">
        <f>INDEX(WeeklyPlanTopic,5)</f>
        <v/>
      </c>
      <c r="N24" s="35"/>
      <c r="O24" s="38" t="str">
        <f>INDEX(WeeklyPlanTask,5)</f>
        <v>FE Handbook formula lookup - 10-15 min</v>
      </c>
      <c r="P24" s="35"/>
      <c r="Q24" s="4">
        <f>INDEX(WeeklyPlanMins,5)</f>
        <v>20</v>
      </c>
      <c r="R24" s="4" t="str">
        <f>INDEX(WeeklyPlanDone,5)</f>
        <v>No</v>
      </c>
    </row>
    <row r="25" spans="1:18" ht="28.05" customHeight="1">
      <c r="A25" s="32" t="s">
        <v>44</v>
      </c>
      <c r="B25" s="30"/>
      <c r="C25" s="55">
        <v>10</v>
      </c>
      <c r="D25" s="30"/>
      <c r="E25" s="31" t="s">
        <v>45</v>
      </c>
      <c r="F25" s="30"/>
      <c r="G25" s="2">
        <v>30</v>
      </c>
      <c r="H25" s="2">
        <v>3</v>
      </c>
      <c r="I25" s="33" t="s">
        <v>46</v>
      </c>
      <c r="J25" s="29"/>
      <c r="K25" s="30"/>
      <c r="L25" s="3" t="str">
        <f>INDEX(WeeklyPlanDay,6)</f>
        <v>Friday</v>
      </c>
      <c r="M25" s="38" t="str">
        <f>INDEX(WeeklyPlanTopic,6)</f>
        <v>13.1 Communication Theory</v>
      </c>
      <c r="N25" s="35"/>
      <c r="O25" s="38" t="str">
        <f>INDEX(WeeklyPlanTask,6)</f>
        <v>Light review of 13.1 Communication Theory. No heavy problem solving.</v>
      </c>
      <c r="P25" s="35"/>
      <c r="Q25" s="4">
        <f>INDEX(WeeklyPlanMins,6)</f>
        <v>30</v>
      </c>
      <c r="R25" s="4" t="str">
        <f>INDEX(WeeklyPlanDone,6)</f>
        <v>No</v>
      </c>
    </row>
    <row r="26" spans="1:18" ht="28.05" customHeight="1">
      <c r="E26" s="31" t="s">
        <v>47</v>
      </c>
      <c r="F26" s="30"/>
      <c r="G26" s="2">
        <v>45</v>
      </c>
      <c r="H26" s="2">
        <v>4</v>
      </c>
      <c r="I26" s="33" t="s">
        <v>46</v>
      </c>
      <c r="J26" s="29"/>
      <c r="K26" s="30"/>
      <c r="L26" s="3" t="str">
        <f>INDEX(WeeklyPlanDay,7)</f>
        <v>Saturday</v>
      </c>
      <c r="M26" s="38" t="str">
        <f>INDEX(WeeklyPlanTopic,7)</f>
        <v>8.1 Sampling</v>
      </c>
      <c r="N26" s="35"/>
      <c r="O26" s="38" t="str">
        <f>INDEX(WeeklyPlanTask,7)</f>
        <v>Light review of 8.1 Sampling. No heavy problem solving.</v>
      </c>
      <c r="P26" s="35"/>
      <c r="Q26" s="4">
        <f>INDEX(WeeklyPlanMins,7)</f>
        <v>45</v>
      </c>
      <c r="R26" s="4" t="str">
        <f>INDEX(WeeklyPlanDone,7)</f>
        <v>No</v>
      </c>
    </row>
    <row r="27" spans="1:18" ht="7.95" customHeight="1"/>
    <row r="28" spans="1:18" ht="22.05" customHeight="1">
      <c r="A28" s="41" t="s">
        <v>48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3"/>
    </row>
    <row r="29" spans="1:18" ht="16.05" customHeight="1"/>
    <row r="30" spans="1:18" ht="16.05" customHeight="1"/>
    <row r="31" spans="1:18" ht="16.05" customHeight="1"/>
    <row r="32" spans="1:18" ht="16.05" customHeight="1"/>
    <row r="33" ht="16.05" customHeight="1"/>
    <row r="34" ht="16.05" customHeight="1"/>
    <row r="35" ht="16.05" customHeight="1"/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spans="1:18" ht="16.05" customHeight="1"/>
    <row r="50" spans="1:18" ht="16.05" customHeight="1"/>
    <row r="51" spans="1:18" ht="16.05" customHeight="1"/>
    <row r="52" spans="1:18" ht="16.05" customHeight="1"/>
    <row r="53" spans="1:18" ht="16.05" customHeight="1"/>
    <row r="54" spans="1:18" ht="16.05" customHeight="1"/>
    <row r="55" spans="1:18" ht="16.05" customHeight="1"/>
    <row r="56" spans="1:18" ht="16.05" customHeight="1"/>
    <row r="57" spans="1:18" ht="16.05" customHeight="1"/>
    <row r="58" spans="1:18" ht="16.05" customHeight="1"/>
    <row r="59" spans="1:18" ht="16.05" customHeight="1"/>
    <row r="60" spans="1:18" ht="7.95" customHeight="1"/>
    <row r="61" spans="1:18" ht="22.05" customHeight="1">
      <c r="A61" s="41" t="s">
        <v>49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3"/>
    </row>
    <row r="62" spans="1:18" ht="22.05" customHeight="1">
      <c r="A62" s="36" t="s">
        <v>50</v>
      </c>
      <c r="B62" s="37"/>
      <c r="C62" s="37"/>
      <c r="D62" s="37"/>
      <c r="E62" s="37" t="s">
        <v>51</v>
      </c>
      <c r="F62" s="37"/>
      <c r="G62" s="37"/>
      <c r="H62" s="37"/>
      <c r="I62" s="37"/>
      <c r="J62" s="37"/>
      <c r="K62" s="37"/>
      <c r="L62" s="37"/>
      <c r="M62" s="49" t="s">
        <v>52</v>
      </c>
      <c r="N62" s="37"/>
      <c r="O62" s="37"/>
      <c r="P62" s="37"/>
      <c r="Q62" s="37"/>
      <c r="R62" s="37"/>
    </row>
    <row r="63" spans="1:18" ht="22.05" customHeight="1">
      <c r="A63" s="36" t="s">
        <v>53</v>
      </c>
      <c r="B63" s="37"/>
      <c r="C63" s="37"/>
      <c r="D63" s="37"/>
      <c r="E63" s="37" t="s">
        <v>54</v>
      </c>
      <c r="F63" s="37"/>
      <c r="G63" s="37"/>
      <c r="H63" s="37"/>
      <c r="I63" s="37"/>
      <c r="J63" s="37"/>
      <c r="K63" s="37"/>
      <c r="L63" s="37"/>
      <c r="M63" s="49" t="s">
        <v>55</v>
      </c>
      <c r="N63" s="37"/>
      <c r="O63" s="37"/>
      <c r="P63" s="37"/>
      <c r="Q63" s="37"/>
      <c r="R63" s="37"/>
    </row>
    <row r="64" spans="1:18" ht="22.05" customHeight="1">
      <c r="A64" s="36" t="s">
        <v>56</v>
      </c>
      <c r="B64" s="37"/>
      <c r="C64" s="37"/>
      <c r="D64" s="37"/>
      <c r="E64" s="37" t="s">
        <v>57</v>
      </c>
      <c r="F64" s="37"/>
      <c r="G64" s="37"/>
      <c r="H64" s="37"/>
      <c r="I64" s="37"/>
      <c r="J64" s="37"/>
      <c r="K64" s="37"/>
      <c r="L64" s="37"/>
      <c r="M64" s="49" t="s">
        <v>58</v>
      </c>
      <c r="N64" s="37"/>
      <c r="O64" s="37"/>
      <c r="P64" s="37"/>
      <c r="Q64" s="37"/>
      <c r="R64" s="37"/>
    </row>
    <row r="65" spans="1:18" ht="22.05" customHeight="1">
      <c r="A65" s="36" t="s">
        <v>59</v>
      </c>
      <c r="B65" s="37"/>
      <c r="C65" s="37"/>
      <c r="D65" s="37"/>
      <c r="E65" s="37" t="s">
        <v>60</v>
      </c>
      <c r="F65" s="37"/>
      <c r="G65" s="37"/>
      <c r="H65" s="37"/>
      <c r="I65" s="37"/>
      <c r="J65" s="37"/>
      <c r="K65" s="37"/>
      <c r="L65" s="37"/>
      <c r="M65" s="49" t="s">
        <v>61</v>
      </c>
      <c r="N65" s="37"/>
      <c r="O65" s="37"/>
      <c r="P65" s="37"/>
      <c r="Q65" s="37"/>
      <c r="R65" s="37"/>
    </row>
  </sheetData>
  <mergeCells count="100">
    <mergeCell ref="D4:F4"/>
    <mergeCell ref="E19:F19"/>
    <mergeCell ref="M8:O8"/>
    <mergeCell ref="M22:N22"/>
    <mergeCell ref="I19:K19"/>
    <mergeCell ref="A18:D18"/>
    <mergeCell ref="E21:F21"/>
    <mergeCell ref="A65:D65"/>
    <mergeCell ref="E11:R11"/>
    <mergeCell ref="A23:B23"/>
    <mergeCell ref="C23:D23"/>
    <mergeCell ref="M26:N26"/>
    <mergeCell ref="A12:D12"/>
    <mergeCell ref="M23:N23"/>
    <mergeCell ref="O23:P23"/>
    <mergeCell ref="I26:K26"/>
    <mergeCell ref="A14:D14"/>
    <mergeCell ref="A24:B24"/>
    <mergeCell ref="C24:D24"/>
    <mergeCell ref="E24:F24"/>
    <mergeCell ref="O24:P24"/>
    <mergeCell ref="A25:B25"/>
    <mergeCell ref="M20:N20"/>
    <mergeCell ref="A1:R1"/>
    <mergeCell ref="M64:R64"/>
    <mergeCell ref="A7:C7"/>
    <mergeCell ref="I25:K25"/>
    <mergeCell ref="P8:R8"/>
    <mergeCell ref="O19:P19"/>
    <mergeCell ref="E62:L62"/>
    <mergeCell ref="J4:L4"/>
    <mergeCell ref="A63:D63"/>
    <mergeCell ref="D7:F7"/>
    <mergeCell ref="P7:R7"/>
    <mergeCell ref="C20:D20"/>
    <mergeCell ref="E20:F20"/>
    <mergeCell ref="E64:L64"/>
    <mergeCell ref="G5:I5"/>
    <mergeCell ref="O20:P20"/>
    <mergeCell ref="E65:L65"/>
    <mergeCell ref="M62:R62"/>
    <mergeCell ref="M21:N21"/>
    <mergeCell ref="D5:F5"/>
    <mergeCell ref="O21:P21"/>
    <mergeCell ref="A10:R10"/>
    <mergeCell ref="E15:R15"/>
    <mergeCell ref="E26:F26"/>
    <mergeCell ref="L18:R18"/>
    <mergeCell ref="J5:L5"/>
    <mergeCell ref="M24:N24"/>
    <mergeCell ref="E25:F25"/>
    <mergeCell ref="G8:I8"/>
    <mergeCell ref="M65:R65"/>
    <mergeCell ref="C22:D22"/>
    <mergeCell ref="I20:K20"/>
    <mergeCell ref="E63:L63"/>
    <mergeCell ref="G4:I4"/>
    <mergeCell ref="A11:D11"/>
    <mergeCell ref="A4:C4"/>
    <mergeCell ref="E13:R13"/>
    <mergeCell ref="M4:O4"/>
    <mergeCell ref="D8:F8"/>
    <mergeCell ref="O22:P22"/>
    <mergeCell ref="A21:B21"/>
    <mergeCell ref="C21:D21"/>
    <mergeCell ref="M63:R63"/>
    <mergeCell ref="J8:L8"/>
    <mergeCell ref="G7:I7"/>
    <mergeCell ref="M7:O7"/>
    <mergeCell ref="C25:D25"/>
    <mergeCell ref="A8:C8"/>
    <mergeCell ref="A62:D62"/>
    <mergeCell ref="I21:K21"/>
    <mergeCell ref="J7:L7"/>
    <mergeCell ref="A5:C5"/>
    <mergeCell ref="E18:K18"/>
    <mergeCell ref="I23:K23"/>
    <mergeCell ref="A20:B20"/>
    <mergeCell ref="A2:R2"/>
    <mergeCell ref="A15:D15"/>
    <mergeCell ref="A64:D64"/>
    <mergeCell ref="O26:P26"/>
    <mergeCell ref="M25:N25"/>
    <mergeCell ref="O25:P25"/>
    <mergeCell ref="P5:R5"/>
    <mergeCell ref="A28:R28"/>
    <mergeCell ref="A16:D16"/>
    <mergeCell ref="P4:R4"/>
    <mergeCell ref="A22:B22"/>
    <mergeCell ref="M5:O5"/>
    <mergeCell ref="E16:R16"/>
    <mergeCell ref="E22:F22"/>
    <mergeCell ref="M19:N19"/>
    <mergeCell ref="A61:R61"/>
    <mergeCell ref="E12:R12"/>
    <mergeCell ref="E23:F23"/>
    <mergeCell ref="A13:D13"/>
    <mergeCell ref="E14:R14"/>
    <mergeCell ref="I24:K24"/>
    <mergeCell ref="I22:K22"/>
  </mergeCells>
  <conditionalFormatting sqref="D5:F5">
    <cfRule type="cellIs" dxfId="29" priority="1" operator="lessThan">
      <formula>14</formula>
    </cfRule>
    <cfRule type="cellIs" dxfId="28" priority="2" operator="lessThan">
      <formula>30</formula>
    </cfRule>
    <cfRule type="cellIs" dxfId="27" priority="3" operator="greaterThanOrEqual">
      <formula>30</formula>
    </cfRule>
  </conditionalFormatting>
  <conditionalFormatting sqref="J5:L5">
    <cfRule type="cellIs" dxfId="26" priority="4" operator="lessThan">
      <formula>0.3</formula>
    </cfRule>
    <cfRule type="cellIs" dxfId="25" priority="5" operator="lessThan">
      <formula>0.6</formula>
    </cfRule>
  </conditionalFormatting>
  <conditionalFormatting sqref="M5:O5">
    <cfRule type="cellIs" dxfId="24" priority="6" operator="lessThan">
      <formula>0.3</formula>
    </cfRule>
    <cfRule type="cellIs" dxfId="23" priority="7" operator="lessThan">
      <formula>0.6</formula>
    </cfRule>
  </conditionalFormatting>
  <conditionalFormatting sqref="M8:O8">
    <cfRule type="cellIs" dxfId="22" priority="8" operator="greaterThan">
      <formula>10</formula>
    </cfRule>
    <cfRule type="cellIs" dxfId="21" priority="9" operator="greaterThan">
      <formula>5</formula>
    </cfRule>
    <cfRule type="cellIs" dxfId="20" priority="10" operator="lessThanOrEqual">
      <formula>5</formula>
    </cfRule>
  </conditionalFormatting>
  <conditionalFormatting sqref="H20:H26">
    <cfRule type="colorScale" priority="11">
      <colorScale>
        <cfvo type="num" val="1"/>
        <cfvo type="num" val="3"/>
        <cfvo type="num" val="5"/>
        <color rgb="FFF8CBAD"/>
        <color rgb="FFFFE699"/>
        <color rgb="FFC6E0B4"/>
      </colorScale>
    </cfRule>
  </conditionalFormatting>
  <conditionalFormatting sqref="I20:I26">
    <cfRule type="expression" dxfId="19" priority="12">
      <formula>$I20="Rest"</formula>
    </cfRule>
    <cfRule type="expression" dxfId="18" priority="13">
      <formula>$I20="Family"</formula>
    </cfRule>
    <cfRule type="expression" dxfId="17" priority="14">
      <formula>$I20="Low Energy"</formula>
    </cfRule>
  </conditionalFormatting>
  <conditionalFormatting sqref="R20:R26">
    <cfRule type="expression" dxfId="16" priority="15">
      <formula>$R20="Yes"</formula>
    </cfRule>
    <cfRule type="expression" dxfId="15" priority="16">
      <formula>$R20="Skipped"</formula>
    </cfRule>
  </conditionalFormatting>
  <dataValidations count="3">
    <dataValidation type="list" sqref="C23" xr:uid="{00000000-0002-0000-0000-000000000000}">
      <formula1>"Flexible,Daily,Non-Daily"</formula1>
    </dataValidation>
    <dataValidation type="list" sqref="H20:H26" xr:uid="{00000000-0002-0000-0000-000001000000}">
      <formula1>"1,2,3,4,5"</formula1>
    </dataValidation>
    <dataValidation type="list" sqref="I20:I26" xr:uid="{00000000-0002-0000-0000-000002000000}">
      <formula1>"Normal,Low Energy,Family,Rest"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6"/>
  <sheetViews>
    <sheetView showGridLines="0" workbookViewId="0">
      <pane xSplit="3" ySplit="1" topLeftCell="H2" activePane="bottomRight" state="frozen"/>
      <selection pane="topRight"/>
      <selection pane="bottomLeft"/>
      <selection pane="bottomRight" activeCell="P3" sqref="P3"/>
    </sheetView>
  </sheetViews>
  <sheetFormatPr defaultRowHeight="14.4"/>
  <cols>
    <col min="1" max="1" width="5" customWidth="1"/>
    <col min="2" max="2" width="26" customWidth="1"/>
    <col min="3" max="3" width="34" customWidth="1"/>
    <col min="4" max="4" width="10" customWidth="1"/>
    <col min="5" max="5" width="8" customWidth="1"/>
    <col min="6" max="6" width="6" customWidth="1"/>
    <col min="7" max="7" width="11" customWidth="1"/>
    <col min="8" max="10" width="10" customWidth="1"/>
    <col min="11" max="11" width="12" customWidth="1"/>
    <col min="12" max="12" width="18" customWidth="1"/>
    <col min="13" max="15" width="11" customWidth="1"/>
    <col min="16" max="16" width="14" customWidth="1"/>
    <col min="17" max="17" width="16" customWidth="1"/>
    <col min="18" max="18" width="30" customWidth="1"/>
    <col min="19" max="22" width="12" hidden="1" customWidth="1"/>
  </cols>
  <sheetData>
    <row r="1" spans="1:22" ht="36" customHeight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22" ht="22.05" customHeight="1">
      <c r="A2" s="5" t="s">
        <v>80</v>
      </c>
      <c r="B2" s="6" t="s">
        <v>81</v>
      </c>
      <c r="C2" s="6" t="s">
        <v>82</v>
      </c>
      <c r="D2" s="7" t="s">
        <v>83</v>
      </c>
      <c r="E2" s="7">
        <v>14</v>
      </c>
      <c r="F2" s="8">
        <v>1</v>
      </c>
      <c r="G2" s="5">
        <v>3</v>
      </c>
      <c r="H2" s="7">
        <v>2</v>
      </c>
      <c r="I2" s="5">
        <v>2</v>
      </c>
      <c r="J2" s="7">
        <v>4</v>
      </c>
      <c r="K2" s="9">
        <f t="shared" ref="K2:K33" si="0">IF(A2="No",0,IF(P2="Skipped",0,ROUND((E2*0.35+(6-G2)*0.25+J2*0.2+IF(F2=1,5,IF(F2=2,3,1))*0.15-I2*0.05)*IF(A2="Later",0.5,1)*IF(OR(IFERROR(N2/M2,0)&gt;=1,P2="Exam Ready"),0.1,1),2)))</f>
        <v>7.1</v>
      </c>
      <c r="L2" s="10" t="s">
        <v>84</v>
      </c>
      <c r="M2" s="7">
        <v>3</v>
      </c>
      <c r="N2" s="5">
        <v>0</v>
      </c>
      <c r="O2" s="11">
        <f t="shared" ref="O2:O33" si="1">IFERROR(MIN(N2/M2,1),0)</f>
        <v>0</v>
      </c>
      <c r="P2" s="5" t="s">
        <v>85</v>
      </c>
      <c r="Q2" s="12" t="str">
        <f t="shared" ref="Q2:Q33" si="2">IF(A2="No","Skip for Now",IF(A2="Later","Defer",IF(OR(O2&gt;=1,P2="Exam Ready"),"Keep Warm",IF(P2="Skipped","Skip for Now",IF(K2&gt;=6,"Study Next",IF(K2&gt;=4.5,"Study This Week",IF(K2&gt;=3,"Practice","Review")))))))</f>
        <v>Study Next</v>
      </c>
      <c r="R2" s="13" t="s">
        <v>86</v>
      </c>
      <c r="S2" s="12">
        <f t="shared" ref="S2:S33" si="3">K2+ROW()/100000</f>
        <v>7.1000199999999998</v>
      </c>
      <c r="T2" s="12">
        <f t="shared" ref="T2:T33" si="4">IF(A2="No",0,IF(P2="Skipped",0,(J2*2-H2-I2+5)*IF(O2&gt;=1,0.1,1)))+ROW()/100000</f>
        <v>9.0000199999999992</v>
      </c>
      <c r="U2" s="12">
        <f t="shared" ref="U2:U33" si="5">IF(A2="Yes",10-K2,0)+ROW()/100000</f>
        <v>2.9000200000000005</v>
      </c>
      <c r="V2" s="12">
        <f t="shared" ref="V2:V33" si="6">IF(A2="No",0,IF(P2="Skipped",0,IF(F2=1,0,IF(O2&gt;=1,0,(J2*2-H2-I2+5)*0.5+(6-G2)*0.3))))+ROW()/100000</f>
        <v>2.0000000000000002E-5</v>
      </c>
    </row>
    <row r="3" spans="1:22" ht="22.05" customHeight="1">
      <c r="A3" s="5" t="s">
        <v>80</v>
      </c>
      <c r="B3" s="6" t="s">
        <v>81</v>
      </c>
      <c r="C3" s="6" t="s">
        <v>87</v>
      </c>
      <c r="D3" s="7" t="s">
        <v>83</v>
      </c>
      <c r="E3" s="7">
        <v>14</v>
      </c>
      <c r="F3" s="8">
        <v>1</v>
      </c>
      <c r="G3" s="5">
        <v>3</v>
      </c>
      <c r="H3" s="7">
        <v>2</v>
      </c>
      <c r="I3" s="5">
        <v>2</v>
      </c>
      <c r="J3" s="7">
        <v>5</v>
      </c>
      <c r="K3" s="9">
        <f t="shared" si="0"/>
        <v>7.3</v>
      </c>
      <c r="L3" s="10" t="s">
        <v>88</v>
      </c>
      <c r="M3" s="7">
        <v>2.5</v>
      </c>
      <c r="N3" s="5">
        <v>0</v>
      </c>
      <c r="O3" s="11">
        <f t="shared" si="1"/>
        <v>0</v>
      </c>
      <c r="P3" s="5" t="s">
        <v>85</v>
      </c>
      <c r="Q3" s="12" t="str">
        <f t="shared" si="2"/>
        <v>Study Next</v>
      </c>
      <c r="R3" s="13" t="s">
        <v>89</v>
      </c>
      <c r="S3" s="12">
        <f t="shared" si="3"/>
        <v>7.3000299999999996</v>
      </c>
      <c r="T3" s="12">
        <f t="shared" si="4"/>
        <v>11.000030000000001</v>
      </c>
      <c r="U3" s="12">
        <f t="shared" si="5"/>
        <v>2.7000300000000004</v>
      </c>
      <c r="V3" s="12">
        <f t="shared" si="6"/>
        <v>3.0000000000000001E-5</v>
      </c>
    </row>
    <row r="4" spans="1:22" ht="22.05" customHeight="1">
      <c r="A4" s="5" t="s">
        <v>80</v>
      </c>
      <c r="B4" s="6" t="s">
        <v>81</v>
      </c>
      <c r="C4" s="6" t="s">
        <v>90</v>
      </c>
      <c r="D4" s="7" t="s">
        <v>83</v>
      </c>
      <c r="E4" s="7">
        <v>14</v>
      </c>
      <c r="F4" s="8">
        <v>1</v>
      </c>
      <c r="G4" s="5">
        <v>2</v>
      </c>
      <c r="H4" s="7">
        <v>2</v>
      </c>
      <c r="I4" s="5">
        <v>2</v>
      </c>
      <c r="J4" s="7">
        <v>3</v>
      </c>
      <c r="K4" s="9">
        <f t="shared" si="0"/>
        <v>7.15</v>
      </c>
      <c r="L4" s="10" t="s">
        <v>91</v>
      </c>
      <c r="M4" s="7">
        <v>1</v>
      </c>
      <c r="N4" s="5">
        <v>0</v>
      </c>
      <c r="O4" s="11">
        <f t="shared" si="1"/>
        <v>0</v>
      </c>
      <c r="P4" s="5" t="s">
        <v>85</v>
      </c>
      <c r="Q4" s="12" t="str">
        <f t="shared" si="2"/>
        <v>Study Next</v>
      </c>
      <c r="R4" s="13" t="s">
        <v>92</v>
      </c>
      <c r="S4" s="12">
        <f t="shared" si="3"/>
        <v>7.1500400000000006</v>
      </c>
      <c r="T4" s="12">
        <f t="shared" si="4"/>
        <v>7.0000400000000003</v>
      </c>
      <c r="U4" s="12">
        <f t="shared" si="5"/>
        <v>2.8500399999999995</v>
      </c>
      <c r="V4" s="12">
        <f t="shared" si="6"/>
        <v>4.0000000000000003E-5</v>
      </c>
    </row>
    <row r="5" spans="1:22" ht="22.05" customHeight="1">
      <c r="A5" s="5" t="s">
        <v>80</v>
      </c>
      <c r="B5" s="6" t="s">
        <v>81</v>
      </c>
      <c r="C5" s="6" t="s">
        <v>93</v>
      </c>
      <c r="D5" s="7" t="s">
        <v>83</v>
      </c>
      <c r="E5" s="7">
        <v>14</v>
      </c>
      <c r="F5" s="8">
        <v>1</v>
      </c>
      <c r="G5" s="5">
        <v>2</v>
      </c>
      <c r="H5" s="7">
        <v>2</v>
      </c>
      <c r="I5" s="5">
        <v>3</v>
      </c>
      <c r="J5" s="7">
        <v>2</v>
      </c>
      <c r="K5" s="9">
        <f t="shared" si="0"/>
        <v>6.9</v>
      </c>
      <c r="L5" s="10" t="s">
        <v>94</v>
      </c>
      <c r="M5" s="7">
        <v>1</v>
      </c>
      <c r="N5" s="5">
        <v>0</v>
      </c>
      <c r="O5" s="11">
        <f t="shared" si="1"/>
        <v>0</v>
      </c>
      <c r="P5" s="5" t="s">
        <v>85</v>
      </c>
      <c r="Q5" s="12" t="str">
        <f t="shared" si="2"/>
        <v>Study Next</v>
      </c>
      <c r="R5" s="13" t="s">
        <v>95</v>
      </c>
      <c r="S5" s="12">
        <f t="shared" si="3"/>
        <v>6.9000500000000002</v>
      </c>
      <c r="T5" s="12">
        <f t="shared" si="4"/>
        <v>4.0000499999999999</v>
      </c>
      <c r="U5" s="12">
        <f t="shared" si="5"/>
        <v>3.1000499999999995</v>
      </c>
      <c r="V5" s="12">
        <f t="shared" si="6"/>
        <v>5.0000000000000002E-5</v>
      </c>
    </row>
    <row r="6" spans="1:22" ht="22.05" customHeight="1">
      <c r="A6" s="5" t="s">
        <v>80</v>
      </c>
      <c r="B6" s="6" t="s">
        <v>81</v>
      </c>
      <c r="C6" s="6" t="s">
        <v>96</v>
      </c>
      <c r="D6" s="7" t="s">
        <v>83</v>
      </c>
      <c r="E6" s="7">
        <v>14</v>
      </c>
      <c r="F6" s="8">
        <v>1</v>
      </c>
      <c r="G6" s="5">
        <v>2</v>
      </c>
      <c r="H6" s="7">
        <v>3</v>
      </c>
      <c r="I6" s="5">
        <v>3</v>
      </c>
      <c r="J6" s="7">
        <v>4</v>
      </c>
      <c r="K6" s="9">
        <f t="shared" si="0"/>
        <v>7.3</v>
      </c>
      <c r="L6" s="10" t="s">
        <v>84</v>
      </c>
      <c r="M6" s="7">
        <v>3</v>
      </c>
      <c r="N6" s="5">
        <v>0</v>
      </c>
      <c r="O6" s="11">
        <f t="shared" si="1"/>
        <v>0</v>
      </c>
      <c r="P6" s="5" t="s">
        <v>85</v>
      </c>
      <c r="Q6" s="12" t="str">
        <f t="shared" si="2"/>
        <v>Study Next</v>
      </c>
      <c r="R6" s="13" t="s">
        <v>97</v>
      </c>
      <c r="S6" s="12">
        <f t="shared" si="3"/>
        <v>7.3000600000000002</v>
      </c>
      <c r="T6" s="12">
        <f t="shared" si="4"/>
        <v>7.0000600000000004</v>
      </c>
      <c r="U6" s="12">
        <f t="shared" si="5"/>
        <v>2.7000600000000001</v>
      </c>
      <c r="V6" s="12">
        <f t="shared" si="6"/>
        <v>6.0000000000000002E-5</v>
      </c>
    </row>
    <row r="7" spans="1:22" ht="22.05" customHeight="1">
      <c r="A7" s="5" t="s">
        <v>80</v>
      </c>
      <c r="B7" s="6" t="s">
        <v>81</v>
      </c>
      <c r="C7" s="6" t="s">
        <v>98</v>
      </c>
      <c r="D7" s="7" t="s">
        <v>83</v>
      </c>
      <c r="E7" s="7">
        <v>14</v>
      </c>
      <c r="F7" s="8">
        <v>1</v>
      </c>
      <c r="G7" s="5">
        <v>2</v>
      </c>
      <c r="H7" s="7">
        <v>4</v>
      </c>
      <c r="I7" s="5">
        <v>4</v>
      </c>
      <c r="J7" s="7">
        <v>3</v>
      </c>
      <c r="K7" s="9">
        <f t="shared" si="0"/>
        <v>7.05</v>
      </c>
      <c r="L7" s="10" t="s">
        <v>84</v>
      </c>
      <c r="M7" s="7">
        <v>2.5</v>
      </c>
      <c r="N7" s="5">
        <v>0</v>
      </c>
      <c r="O7" s="11">
        <f t="shared" si="1"/>
        <v>0</v>
      </c>
      <c r="P7" s="5" t="s">
        <v>85</v>
      </c>
      <c r="Q7" s="12" t="str">
        <f t="shared" si="2"/>
        <v>Study Next</v>
      </c>
      <c r="R7" s="13" t="s">
        <v>99</v>
      </c>
      <c r="S7" s="12">
        <f t="shared" si="3"/>
        <v>7.0500699999999998</v>
      </c>
      <c r="T7" s="12">
        <f t="shared" si="4"/>
        <v>3.00007</v>
      </c>
      <c r="U7" s="12">
        <f t="shared" si="5"/>
        <v>2.9500700000000002</v>
      </c>
      <c r="V7" s="12">
        <f t="shared" si="6"/>
        <v>6.9999999999999994E-5</v>
      </c>
    </row>
    <row r="8" spans="1:22" ht="22.05" customHeight="1">
      <c r="A8" s="5" t="s">
        <v>80</v>
      </c>
      <c r="B8" s="6" t="s">
        <v>81</v>
      </c>
      <c r="C8" s="6" t="s">
        <v>100</v>
      </c>
      <c r="D8" s="7" t="s">
        <v>83</v>
      </c>
      <c r="E8" s="7">
        <v>14</v>
      </c>
      <c r="F8" s="8">
        <v>1</v>
      </c>
      <c r="G8" s="5">
        <v>2</v>
      </c>
      <c r="H8" s="7">
        <v>3</v>
      </c>
      <c r="I8" s="5">
        <v>3</v>
      </c>
      <c r="J8" s="7">
        <v>3</v>
      </c>
      <c r="K8" s="9">
        <f t="shared" si="0"/>
        <v>7.1</v>
      </c>
      <c r="L8" s="10" t="s">
        <v>84</v>
      </c>
      <c r="M8" s="7">
        <v>2</v>
      </c>
      <c r="N8" s="5">
        <v>0</v>
      </c>
      <c r="O8" s="11">
        <f t="shared" si="1"/>
        <v>0</v>
      </c>
      <c r="P8" s="5" t="s">
        <v>85</v>
      </c>
      <c r="Q8" s="12" t="str">
        <f t="shared" si="2"/>
        <v>Study Next</v>
      </c>
      <c r="R8" s="13" t="s">
        <v>101</v>
      </c>
      <c r="S8" s="12">
        <f t="shared" si="3"/>
        <v>7.1000799999999993</v>
      </c>
      <c r="T8" s="12">
        <f t="shared" si="4"/>
        <v>5.0000799999999996</v>
      </c>
      <c r="U8" s="12">
        <f t="shared" si="5"/>
        <v>2.9000800000000004</v>
      </c>
      <c r="V8" s="12">
        <f t="shared" si="6"/>
        <v>8.0000000000000007E-5</v>
      </c>
    </row>
    <row r="9" spans="1:22" ht="22.05" customHeight="1">
      <c r="A9" s="5" t="s">
        <v>80</v>
      </c>
      <c r="B9" s="6" t="s">
        <v>102</v>
      </c>
      <c r="C9" s="6" t="s">
        <v>103</v>
      </c>
      <c r="D9" s="7" t="s">
        <v>104</v>
      </c>
      <c r="E9" s="7">
        <v>5</v>
      </c>
      <c r="F9" s="14">
        <v>2</v>
      </c>
      <c r="G9" s="5">
        <v>3</v>
      </c>
      <c r="H9" s="7">
        <v>2</v>
      </c>
      <c r="I9" s="5">
        <v>2</v>
      </c>
      <c r="J9" s="7">
        <v>4</v>
      </c>
      <c r="K9" s="9">
        <f t="shared" si="0"/>
        <v>3.65</v>
      </c>
      <c r="L9" s="10" t="s">
        <v>91</v>
      </c>
      <c r="M9" s="7">
        <v>1</v>
      </c>
      <c r="N9" s="5">
        <v>0</v>
      </c>
      <c r="O9" s="11">
        <f t="shared" si="1"/>
        <v>0</v>
      </c>
      <c r="P9" s="5" t="s">
        <v>85</v>
      </c>
      <c r="Q9" s="12" t="str">
        <f t="shared" si="2"/>
        <v>Practice</v>
      </c>
      <c r="R9" s="13" t="s">
        <v>105</v>
      </c>
      <c r="S9" s="12">
        <f t="shared" si="3"/>
        <v>3.6500900000000001</v>
      </c>
      <c r="T9" s="12">
        <f t="shared" si="4"/>
        <v>9.0000900000000001</v>
      </c>
      <c r="U9" s="12">
        <f t="shared" si="5"/>
        <v>6.3500899999999998</v>
      </c>
      <c r="V9" s="12">
        <f t="shared" si="6"/>
        <v>5.4000900000000005</v>
      </c>
    </row>
    <row r="10" spans="1:22" ht="22.05" customHeight="1">
      <c r="A10" s="5" t="s">
        <v>80</v>
      </c>
      <c r="B10" s="6" t="s">
        <v>102</v>
      </c>
      <c r="C10" s="6" t="s">
        <v>106</v>
      </c>
      <c r="D10" s="7" t="s">
        <v>104</v>
      </c>
      <c r="E10" s="7">
        <v>5</v>
      </c>
      <c r="F10" s="14">
        <v>2</v>
      </c>
      <c r="G10" s="5">
        <v>2</v>
      </c>
      <c r="H10" s="7">
        <v>3</v>
      </c>
      <c r="I10" s="5">
        <v>2</v>
      </c>
      <c r="J10" s="7">
        <v>3</v>
      </c>
      <c r="K10" s="9">
        <f t="shared" si="0"/>
        <v>3.7</v>
      </c>
      <c r="L10" s="10" t="s">
        <v>84</v>
      </c>
      <c r="M10" s="7">
        <v>1.5</v>
      </c>
      <c r="N10" s="5">
        <v>0</v>
      </c>
      <c r="O10" s="11">
        <f t="shared" si="1"/>
        <v>0</v>
      </c>
      <c r="P10" s="5" t="s">
        <v>85</v>
      </c>
      <c r="Q10" s="12" t="str">
        <f t="shared" si="2"/>
        <v>Practice</v>
      </c>
      <c r="R10" s="13" t="s">
        <v>107</v>
      </c>
      <c r="S10" s="12">
        <f t="shared" si="3"/>
        <v>3.7001000000000004</v>
      </c>
      <c r="T10" s="12">
        <f t="shared" si="4"/>
        <v>6.0000999999999998</v>
      </c>
      <c r="U10" s="12">
        <f t="shared" si="5"/>
        <v>6.3000999999999996</v>
      </c>
      <c r="V10" s="12">
        <f t="shared" si="6"/>
        <v>4.2000999999999999</v>
      </c>
    </row>
    <row r="11" spans="1:22" ht="22.05" customHeight="1">
      <c r="A11" s="5" t="s">
        <v>80</v>
      </c>
      <c r="B11" s="6" t="s">
        <v>102</v>
      </c>
      <c r="C11" s="6" t="s">
        <v>108</v>
      </c>
      <c r="D11" s="7" t="s">
        <v>104</v>
      </c>
      <c r="E11" s="7">
        <v>5</v>
      </c>
      <c r="F11" s="14">
        <v>2</v>
      </c>
      <c r="G11" s="5">
        <v>2</v>
      </c>
      <c r="H11" s="7">
        <v>3</v>
      </c>
      <c r="I11" s="5">
        <v>3</v>
      </c>
      <c r="J11" s="7">
        <v>3</v>
      </c>
      <c r="K11" s="9">
        <f t="shared" si="0"/>
        <v>3.65</v>
      </c>
      <c r="L11" s="10" t="s">
        <v>84</v>
      </c>
      <c r="M11" s="7">
        <v>1.5</v>
      </c>
      <c r="N11" s="5">
        <v>0</v>
      </c>
      <c r="O11" s="11">
        <f t="shared" si="1"/>
        <v>0</v>
      </c>
      <c r="P11" s="5" t="s">
        <v>85</v>
      </c>
      <c r="Q11" s="12" t="str">
        <f t="shared" si="2"/>
        <v>Practice</v>
      </c>
      <c r="R11" s="13" t="s">
        <v>109</v>
      </c>
      <c r="S11" s="12">
        <f t="shared" si="3"/>
        <v>3.6501099999999997</v>
      </c>
      <c r="T11" s="12">
        <f t="shared" si="4"/>
        <v>5.0001100000000003</v>
      </c>
      <c r="U11" s="12">
        <f t="shared" si="5"/>
        <v>6.3501099999999999</v>
      </c>
      <c r="V11" s="12">
        <f t="shared" si="6"/>
        <v>3.70011</v>
      </c>
    </row>
    <row r="12" spans="1:22" ht="22.05" customHeight="1">
      <c r="A12" s="5" t="s">
        <v>80</v>
      </c>
      <c r="B12" s="6" t="s">
        <v>102</v>
      </c>
      <c r="C12" s="6" t="s">
        <v>110</v>
      </c>
      <c r="D12" s="7" t="s">
        <v>104</v>
      </c>
      <c r="E12" s="7">
        <v>5</v>
      </c>
      <c r="F12" s="14">
        <v>2</v>
      </c>
      <c r="G12" s="5">
        <v>3</v>
      </c>
      <c r="H12" s="7">
        <v>2</v>
      </c>
      <c r="I12" s="5">
        <v>2</v>
      </c>
      <c r="J12" s="7">
        <v>4</v>
      </c>
      <c r="K12" s="9">
        <f t="shared" si="0"/>
        <v>3.65</v>
      </c>
      <c r="L12" s="10" t="s">
        <v>91</v>
      </c>
      <c r="M12" s="7">
        <v>1</v>
      </c>
      <c r="N12" s="5">
        <v>0</v>
      </c>
      <c r="O12" s="11">
        <f t="shared" si="1"/>
        <v>0</v>
      </c>
      <c r="P12" s="5" t="s">
        <v>85</v>
      </c>
      <c r="Q12" s="12" t="str">
        <f t="shared" si="2"/>
        <v>Practice</v>
      </c>
      <c r="R12" s="13" t="s">
        <v>111</v>
      </c>
      <c r="S12" s="12">
        <f t="shared" si="3"/>
        <v>3.6501199999999998</v>
      </c>
      <c r="T12" s="12">
        <f t="shared" si="4"/>
        <v>9.0001200000000008</v>
      </c>
      <c r="U12" s="12">
        <f t="shared" si="5"/>
        <v>6.3501199999999995</v>
      </c>
      <c r="V12" s="12">
        <f t="shared" si="6"/>
        <v>5.4001200000000003</v>
      </c>
    </row>
    <row r="13" spans="1:22" ht="22.05" customHeight="1">
      <c r="A13" s="5" t="s">
        <v>80</v>
      </c>
      <c r="B13" s="6" t="s">
        <v>112</v>
      </c>
      <c r="C13" s="6" t="s">
        <v>113</v>
      </c>
      <c r="D13" s="7" t="s">
        <v>104</v>
      </c>
      <c r="E13" s="7">
        <v>5</v>
      </c>
      <c r="F13" s="8">
        <v>1</v>
      </c>
      <c r="G13" s="5">
        <v>3</v>
      </c>
      <c r="H13" s="7">
        <v>1</v>
      </c>
      <c r="I13" s="5">
        <v>2</v>
      </c>
      <c r="J13" s="7">
        <v>5</v>
      </c>
      <c r="K13" s="9">
        <f t="shared" si="0"/>
        <v>4.1500000000000004</v>
      </c>
      <c r="L13" s="10" t="s">
        <v>84</v>
      </c>
      <c r="M13" s="7">
        <v>1.5</v>
      </c>
      <c r="N13" s="5">
        <v>0</v>
      </c>
      <c r="O13" s="11">
        <f t="shared" si="1"/>
        <v>0</v>
      </c>
      <c r="P13" s="5" t="s">
        <v>85</v>
      </c>
      <c r="Q13" s="12" t="str">
        <f t="shared" si="2"/>
        <v>Practice</v>
      </c>
      <c r="R13" s="13" t="s">
        <v>114</v>
      </c>
      <c r="S13" s="12">
        <f t="shared" si="3"/>
        <v>4.1501300000000008</v>
      </c>
      <c r="T13" s="12">
        <f t="shared" si="4"/>
        <v>12.00013</v>
      </c>
      <c r="U13" s="12">
        <f t="shared" si="5"/>
        <v>5.8501300000000001</v>
      </c>
      <c r="V13" s="12">
        <f t="shared" si="6"/>
        <v>1.2999999999999999E-4</v>
      </c>
    </row>
    <row r="14" spans="1:22" ht="22.05" customHeight="1">
      <c r="A14" s="5" t="s">
        <v>80</v>
      </c>
      <c r="B14" s="6" t="s">
        <v>112</v>
      </c>
      <c r="C14" s="6" t="s">
        <v>115</v>
      </c>
      <c r="D14" s="7" t="s">
        <v>104</v>
      </c>
      <c r="E14" s="7">
        <v>5</v>
      </c>
      <c r="F14" s="8">
        <v>1</v>
      </c>
      <c r="G14" s="5">
        <v>3</v>
      </c>
      <c r="H14" s="7">
        <v>1</v>
      </c>
      <c r="I14" s="5">
        <v>2</v>
      </c>
      <c r="J14" s="7">
        <v>5</v>
      </c>
      <c r="K14" s="9">
        <f t="shared" si="0"/>
        <v>4.1500000000000004</v>
      </c>
      <c r="L14" s="10" t="s">
        <v>91</v>
      </c>
      <c r="M14" s="7">
        <v>1</v>
      </c>
      <c r="N14" s="5">
        <v>0</v>
      </c>
      <c r="O14" s="11">
        <f t="shared" si="1"/>
        <v>0</v>
      </c>
      <c r="P14" s="5" t="s">
        <v>85</v>
      </c>
      <c r="Q14" s="12" t="str">
        <f t="shared" si="2"/>
        <v>Practice</v>
      </c>
      <c r="R14" s="13" t="s">
        <v>116</v>
      </c>
      <c r="S14" s="12">
        <f t="shared" si="3"/>
        <v>4.1501400000000004</v>
      </c>
      <c r="T14" s="12">
        <f t="shared" si="4"/>
        <v>12.00014</v>
      </c>
      <c r="U14" s="12">
        <f t="shared" si="5"/>
        <v>5.8501399999999997</v>
      </c>
      <c r="V14" s="12">
        <f t="shared" si="6"/>
        <v>1.3999999999999999E-4</v>
      </c>
    </row>
    <row r="15" spans="1:22" ht="22.05" customHeight="1">
      <c r="A15" s="5" t="s">
        <v>80</v>
      </c>
      <c r="B15" s="6" t="s">
        <v>112</v>
      </c>
      <c r="C15" s="6" t="s">
        <v>117</v>
      </c>
      <c r="D15" s="7" t="s">
        <v>104</v>
      </c>
      <c r="E15" s="7">
        <v>5</v>
      </c>
      <c r="F15" s="8">
        <v>1</v>
      </c>
      <c r="G15" s="5">
        <v>3</v>
      </c>
      <c r="H15" s="7">
        <v>1</v>
      </c>
      <c r="I15" s="5">
        <v>2</v>
      </c>
      <c r="J15" s="7">
        <v>5</v>
      </c>
      <c r="K15" s="9">
        <f t="shared" si="0"/>
        <v>4.1500000000000004</v>
      </c>
      <c r="L15" s="10" t="s">
        <v>91</v>
      </c>
      <c r="M15" s="7">
        <v>1</v>
      </c>
      <c r="N15" s="5">
        <v>0</v>
      </c>
      <c r="O15" s="11">
        <f t="shared" si="1"/>
        <v>0</v>
      </c>
      <c r="P15" s="5" t="s">
        <v>85</v>
      </c>
      <c r="Q15" s="12" t="str">
        <f t="shared" si="2"/>
        <v>Practice</v>
      </c>
      <c r="R15" s="13" t="s">
        <v>118</v>
      </c>
      <c r="S15" s="12">
        <f t="shared" si="3"/>
        <v>4.15015</v>
      </c>
      <c r="T15" s="12">
        <f t="shared" si="4"/>
        <v>12.00015</v>
      </c>
      <c r="U15" s="12">
        <f t="shared" si="5"/>
        <v>5.8501499999999993</v>
      </c>
      <c r="V15" s="12">
        <f t="shared" si="6"/>
        <v>1.4999999999999999E-4</v>
      </c>
    </row>
    <row r="16" spans="1:22" ht="22.05" customHeight="1">
      <c r="A16" s="5" t="s">
        <v>80</v>
      </c>
      <c r="B16" s="6" t="s">
        <v>119</v>
      </c>
      <c r="C16" s="6" t="s">
        <v>120</v>
      </c>
      <c r="D16" s="7" t="s">
        <v>121</v>
      </c>
      <c r="E16" s="7">
        <v>7</v>
      </c>
      <c r="F16" s="8">
        <v>1</v>
      </c>
      <c r="G16" s="5">
        <v>2</v>
      </c>
      <c r="H16" s="7">
        <v>2</v>
      </c>
      <c r="I16" s="5">
        <v>2</v>
      </c>
      <c r="J16" s="7">
        <v>5</v>
      </c>
      <c r="K16" s="9">
        <f t="shared" si="0"/>
        <v>5.0999999999999996</v>
      </c>
      <c r="L16" s="10" t="s">
        <v>88</v>
      </c>
      <c r="M16" s="7">
        <v>3</v>
      </c>
      <c r="N16" s="5">
        <v>0</v>
      </c>
      <c r="O16" s="11">
        <f t="shared" si="1"/>
        <v>0</v>
      </c>
      <c r="P16" s="5" t="s">
        <v>85</v>
      </c>
      <c r="Q16" s="12" t="str">
        <f t="shared" si="2"/>
        <v>Study This Week</v>
      </c>
      <c r="R16" s="13" t="s">
        <v>122</v>
      </c>
      <c r="S16" s="12">
        <f t="shared" si="3"/>
        <v>5.1001599999999998</v>
      </c>
      <c r="T16" s="12">
        <f t="shared" si="4"/>
        <v>11.000159999999999</v>
      </c>
      <c r="U16" s="12">
        <f t="shared" si="5"/>
        <v>4.9001600000000005</v>
      </c>
      <c r="V16" s="12">
        <f t="shared" si="6"/>
        <v>1.6000000000000001E-4</v>
      </c>
    </row>
    <row r="17" spans="1:22" ht="22.05" customHeight="1">
      <c r="A17" s="5" t="s">
        <v>80</v>
      </c>
      <c r="B17" s="6" t="s">
        <v>119</v>
      </c>
      <c r="C17" s="6" t="s">
        <v>123</v>
      </c>
      <c r="D17" s="7" t="s">
        <v>121</v>
      </c>
      <c r="E17" s="7">
        <v>7</v>
      </c>
      <c r="F17" s="8">
        <v>1</v>
      </c>
      <c r="G17" s="5">
        <v>2</v>
      </c>
      <c r="H17" s="7">
        <v>2</v>
      </c>
      <c r="I17" s="5">
        <v>3</v>
      </c>
      <c r="J17" s="7">
        <v>4</v>
      </c>
      <c r="K17" s="9">
        <f t="shared" si="0"/>
        <v>4.8499999999999996</v>
      </c>
      <c r="L17" s="10" t="s">
        <v>84</v>
      </c>
      <c r="M17" s="7">
        <v>1.5</v>
      </c>
      <c r="N17" s="5">
        <v>0</v>
      </c>
      <c r="O17" s="11">
        <f t="shared" si="1"/>
        <v>0</v>
      </c>
      <c r="P17" s="5" t="s">
        <v>85</v>
      </c>
      <c r="Q17" s="12" t="str">
        <f t="shared" si="2"/>
        <v>Study This Week</v>
      </c>
      <c r="R17" s="13" t="s">
        <v>124</v>
      </c>
      <c r="S17" s="12">
        <f t="shared" si="3"/>
        <v>4.8501699999999994</v>
      </c>
      <c r="T17" s="12">
        <f t="shared" si="4"/>
        <v>8.0001700000000007</v>
      </c>
      <c r="U17" s="12">
        <f t="shared" si="5"/>
        <v>5.1501700000000001</v>
      </c>
      <c r="V17" s="12">
        <f t="shared" si="6"/>
        <v>1.7000000000000001E-4</v>
      </c>
    </row>
    <row r="18" spans="1:22" ht="22.05" customHeight="1">
      <c r="A18" s="5" t="s">
        <v>80</v>
      </c>
      <c r="B18" s="6" t="s">
        <v>119</v>
      </c>
      <c r="C18" s="6" t="s">
        <v>125</v>
      </c>
      <c r="D18" s="7" t="s">
        <v>121</v>
      </c>
      <c r="E18" s="7">
        <v>7</v>
      </c>
      <c r="F18" s="8">
        <v>1</v>
      </c>
      <c r="G18" s="5">
        <v>2</v>
      </c>
      <c r="H18" s="7">
        <v>2</v>
      </c>
      <c r="I18" s="5">
        <v>3</v>
      </c>
      <c r="J18" s="7">
        <v>3</v>
      </c>
      <c r="K18" s="9">
        <f t="shared" si="0"/>
        <v>4.6500000000000004</v>
      </c>
      <c r="L18" s="10" t="s">
        <v>91</v>
      </c>
      <c r="M18" s="7">
        <v>1</v>
      </c>
      <c r="N18" s="5">
        <v>0</v>
      </c>
      <c r="O18" s="11">
        <f t="shared" si="1"/>
        <v>0</v>
      </c>
      <c r="P18" s="5" t="s">
        <v>85</v>
      </c>
      <c r="Q18" s="12" t="str">
        <f t="shared" si="2"/>
        <v>Study This Week</v>
      </c>
      <c r="R18" s="13" t="s">
        <v>126</v>
      </c>
      <c r="S18" s="12">
        <f t="shared" si="3"/>
        <v>4.6501800000000006</v>
      </c>
      <c r="T18" s="12">
        <f t="shared" si="4"/>
        <v>6.0001800000000003</v>
      </c>
      <c r="U18" s="12">
        <f t="shared" si="5"/>
        <v>5.3501799999999999</v>
      </c>
      <c r="V18" s="12">
        <f t="shared" si="6"/>
        <v>1.8000000000000001E-4</v>
      </c>
    </row>
    <row r="19" spans="1:22" ht="22.05" customHeight="1">
      <c r="A19" s="5" t="s">
        <v>80</v>
      </c>
      <c r="B19" s="6" t="s">
        <v>127</v>
      </c>
      <c r="C19" s="6" t="s">
        <v>128</v>
      </c>
      <c r="D19" s="7" t="s">
        <v>104</v>
      </c>
      <c r="E19" s="7">
        <v>5</v>
      </c>
      <c r="F19" s="15">
        <v>3</v>
      </c>
      <c r="G19" s="5">
        <v>2</v>
      </c>
      <c r="H19" s="7">
        <v>3</v>
      </c>
      <c r="I19" s="5">
        <v>4</v>
      </c>
      <c r="J19" s="7">
        <v>2</v>
      </c>
      <c r="K19" s="9">
        <f t="shared" si="0"/>
        <v>3.1</v>
      </c>
      <c r="L19" s="10" t="s">
        <v>94</v>
      </c>
      <c r="M19" s="7">
        <v>1</v>
      </c>
      <c r="N19" s="5">
        <v>0</v>
      </c>
      <c r="O19" s="11">
        <f t="shared" si="1"/>
        <v>0</v>
      </c>
      <c r="P19" s="5" t="s">
        <v>85</v>
      </c>
      <c r="Q19" s="12" t="str">
        <f t="shared" si="2"/>
        <v>Practice</v>
      </c>
      <c r="R19" s="13" t="s">
        <v>129</v>
      </c>
      <c r="S19" s="12">
        <f t="shared" si="3"/>
        <v>3.10019</v>
      </c>
      <c r="T19" s="12">
        <f t="shared" si="4"/>
        <v>2.0001899999999999</v>
      </c>
      <c r="U19" s="12">
        <f t="shared" si="5"/>
        <v>6.9001900000000003</v>
      </c>
      <c r="V19" s="12">
        <f t="shared" si="6"/>
        <v>2.2001900000000001</v>
      </c>
    </row>
    <row r="20" spans="1:22" ht="22.05" customHeight="1">
      <c r="A20" s="5" t="s">
        <v>80</v>
      </c>
      <c r="B20" s="6" t="s">
        <v>127</v>
      </c>
      <c r="C20" s="6" t="s">
        <v>130</v>
      </c>
      <c r="D20" s="7" t="s">
        <v>104</v>
      </c>
      <c r="E20" s="7">
        <v>5</v>
      </c>
      <c r="F20" s="15">
        <v>3</v>
      </c>
      <c r="G20" s="5">
        <v>2</v>
      </c>
      <c r="H20" s="7">
        <v>2</v>
      </c>
      <c r="I20" s="5">
        <v>3</v>
      </c>
      <c r="J20" s="7">
        <v>3</v>
      </c>
      <c r="K20" s="9">
        <f t="shared" si="0"/>
        <v>3.35</v>
      </c>
      <c r="L20" s="10" t="s">
        <v>94</v>
      </c>
      <c r="M20" s="7">
        <v>0.5</v>
      </c>
      <c r="N20" s="5">
        <v>0</v>
      </c>
      <c r="O20" s="11">
        <f t="shared" si="1"/>
        <v>0</v>
      </c>
      <c r="P20" s="5" t="s">
        <v>85</v>
      </c>
      <c r="Q20" s="12" t="str">
        <f t="shared" si="2"/>
        <v>Practice</v>
      </c>
      <c r="R20" s="13" t="s">
        <v>131</v>
      </c>
      <c r="S20" s="12">
        <f t="shared" si="3"/>
        <v>3.3502000000000001</v>
      </c>
      <c r="T20" s="12">
        <f t="shared" si="4"/>
        <v>6.0002000000000004</v>
      </c>
      <c r="U20" s="12">
        <f t="shared" si="5"/>
        <v>6.6502000000000008</v>
      </c>
      <c r="V20" s="12">
        <f t="shared" si="6"/>
        <v>4.2002000000000006</v>
      </c>
    </row>
    <row r="21" spans="1:22" ht="22.05" customHeight="1">
      <c r="A21" s="5" t="s">
        <v>80</v>
      </c>
      <c r="B21" s="6" t="s">
        <v>132</v>
      </c>
      <c r="C21" s="6" t="s">
        <v>133</v>
      </c>
      <c r="D21" s="7" t="s">
        <v>83</v>
      </c>
      <c r="E21" s="7">
        <v>14</v>
      </c>
      <c r="F21" s="8">
        <v>1</v>
      </c>
      <c r="G21" s="5">
        <v>2</v>
      </c>
      <c r="H21" s="7">
        <v>3</v>
      </c>
      <c r="I21" s="5">
        <v>3</v>
      </c>
      <c r="J21" s="7">
        <v>4</v>
      </c>
      <c r="K21" s="9">
        <f t="shared" si="0"/>
        <v>7.3</v>
      </c>
      <c r="L21" s="10" t="s">
        <v>88</v>
      </c>
      <c r="M21" s="7">
        <v>3</v>
      </c>
      <c r="N21" s="5">
        <v>0</v>
      </c>
      <c r="O21" s="11">
        <f t="shared" si="1"/>
        <v>0</v>
      </c>
      <c r="P21" s="5" t="s">
        <v>85</v>
      </c>
      <c r="Q21" s="12" t="str">
        <f t="shared" si="2"/>
        <v>Study Next</v>
      </c>
      <c r="R21" s="13" t="s">
        <v>134</v>
      </c>
      <c r="S21" s="12">
        <f t="shared" si="3"/>
        <v>7.3002099999999999</v>
      </c>
      <c r="T21" s="12">
        <f t="shared" si="4"/>
        <v>7.00021</v>
      </c>
      <c r="U21" s="12">
        <f t="shared" si="5"/>
        <v>2.7002100000000002</v>
      </c>
      <c r="V21" s="12">
        <f t="shared" si="6"/>
        <v>2.1000000000000001E-4</v>
      </c>
    </row>
    <row r="22" spans="1:22" ht="22.05" customHeight="1">
      <c r="A22" s="5" t="s">
        <v>80</v>
      </c>
      <c r="B22" s="6" t="s">
        <v>132</v>
      </c>
      <c r="C22" s="6" t="s">
        <v>135</v>
      </c>
      <c r="D22" s="7" t="s">
        <v>83</v>
      </c>
      <c r="E22" s="7">
        <v>14</v>
      </c>
      <c r="F22" s="8">
        <v>1</v>
      </c>
      <c r="G22" s="5">
        <v>3</v>
      </c>
      <c r="H22" s="7">
        <v>2</v>
      </c>
      <c r="I22" s="5">
        <v>2</v>
      </c>
      <c r="J22" s="7">
        <v>5</v>
      </c>
      <c r="K22" s="9">
        <f t="shared" si="0"/>
        <v>7.3</v>
      </c>
      <c r="L22" s="10" t="s">
        <v>84</v>
      </c>
      <c r="M22" s="7">
        <v>2</v>
      </c>
      <c r="N22" s="5">
        <v>0</v>
      </c>
      <c r="O22" s="11">
        <f t="shared" si="1"/>
        <v>0</v>
      </c>
      <c r="P22" s="5" t="s">
        <v>85</v>
      </c>
      <c r="Q22" s="12" t="str">
        <f t="shared" si="2"/>
        <v>Study Next</v>
      </c>
      <c r="R22" s="13" t="s">
        <v>136</v>
      </c>
      <c r="S22" s="12">
        <f t="shared" si="3"/>
        <v>7.3002199999999995</v>
      </c>
      <c r="T22" s="12">
        <f t="shared" si="4"/>
        <v>11.000220000000001</v>
      </c>
      <c r="U22" s="12">
        <f t="shared" si="5"/>
        <v>2.7002200000000003</v>
      </c>
      <c r="V22" s="12">
        <f t="shared" si="6"/>
        <v>2.2000000000000001E-4</v>
      </c>
    </row>
    <row r="23" spans="1:22" ht="22.05" customHeight="1">
      <c r="A23" s="5" t="s">
        <v>80</v>
      </c>
      <c r="B23" s="6" t="s">
        <v>132</v>
      </c>
      <c r="C23" s="6" t="s">
        <v>137</v>
      </c>
      <c r="D23" s="7" t="s">
        <v>83</v>
      </c>
      <c r="E23" s="7">
        <v>14</v>
      </c>
      <c r="F23" s="8">
        <v>1</v>
      </c>
      <c r="G23" s="5">
        <v>2</v>
      </c>
      <c r="H23" s="7">
        <v>3</v>
      </c>
      <c r="I23" s="5">
        <v>3</v>
      </c>
      <c r="J23" s="7">
        <v>4</v>
      </c>
      <c r="K23" s="9">
        <f t="shared" si="0"/>
        <v>7.3</v>
      </c>
      <c r="L23" s="10" t="s">
        <v>88</v>
      </c>
      <c r="M23" s="7">
        <v>3</v>
      </c>
      <c r="N23" s="5">
        <v>0</v>
      </c>
      <c r="O23" s="11">
        <f t="shared" si="1"/>
        <v>0</v>
      </c>
      <c r="P23" s="5" t="s">
        <v>85</v>
      </c>
      <c r="Q23" s="12" t="str">
        <f t="shared" si="2"/>
        <v>Study Next</v>
      </c>
      <c r="R23" s="13" t="s">
        <v>138</v>
      </c>
      <c r="S23" s="12">
        <f t="shared" si="3"/>
        <v>7.30023</v>
      </c>
      <c r="T23" s="12">
        <f t="shared" si="4"/>
        <v>7.0002300000000002</v>
      </c>
      <c r="U23" s="12">
        <f t="shared" si="5"/>
        <v>2.7002300000000004</v>
      </c>
      <c r="V23" s="12">
        <f t="shared" si="6"/>
        <v>2.3000000000000001E-4</v>
      </c>
    </row>
    <row r="24" spans="1:22" ht="22.05" customHeight="1">
      <c r="A24" s="5" t="s">
        <v>80</v>
      </c>
      <c r="B24" s="6" t="s">
        <v>132</v>
      </c>
      <c r="C24" s="6" t="s">
        <v>139</v>
      </c>
      <c r="D24" s="7" t="s">
        <v>83</v>
      </c>
      <c r="E24" s="7">
        <v>14</v>
      </c>
      <c r="F24" s="8">
        <v>1</v>
      </c>
      <c r="G24" s="5">
        <v>2</v>
      </c>
      <c r="H24" s="7">
        <v>2</v>
      </c>
      <c r="I24" s="5">
        <v>2</v>
      </c>
      <c r="J24" s="7">
        <v>4</v>
      </c>
      <c r="K24" s="9">
        <f t="shared" si="0"/>
        <v>7.35</v>
      </c>
      <c r="L24" s="10" t="s">
        <v>84</v>
      </c>
      <c r="M24" s="7">
        <v>2</v>
      </c>
      <c r="N24" s="5">
        <v>0</v>
      </c>
      <c r="O24" s="11">
        <f t="shared" si="1"/>
        <v>0</v>
      </c>
      <c r="P24" s="5" t="s">
        <v>85</v>
      </c>
      <c r="Q24" s="12" t="str">
        <f t="shared" si="2"/>
        <v>Study Next</v>
      </c>
      <c r="R24" s="13" t="s">
        <v>140</v>
      </c>
      <c r="S24" s="12">
        <f t="shared" si="3"/>
        <v>7.3502399999999994</v>
      </c>
      <c r="T24" s="12">
        <f t="shared" si="4"/>
        <v>9.0002399999999998</v>
      </c>
      <c r="U24" s="12">
        <f t="shared" si="5"/>
        <v>2.6502400000000002</v>
      </c>
      <c r="V24" s="12">
        <f t="shared" si="6"/>
        <v>2.4000000000000001E-4</v>
      </c>
    </row>
    <row r="25" spans="1:22" ht="22.05" customHeight="1">
      <c r="A25" s="5" t="s">
        <v>80</v>
      </c>
      <c r="B25" s="6" t="s">
        <v>132</v>
      </c>
      <c r="C25" s="6" t="s">
        <v>141</v>
      </c>
      <c r="D25" s="7" t="s">
        <v>83</v>
      </c>
      <c r="E25" s="7">
        <v>14</v>
      </c>
      <c r="F25" s="8">
        <v>1</v>
      </c>
      <c r="G25" s="5">
        <v>2</v>
      </c>
      <c r="H25" s="7">
        <v>3</v>
      </c>
      <c r="I25" s="5">
        <v>3</v>
      </c>
      <c r="J25" s="7">
        <v>4</v>
      </c>
      <c r="K25" s="9">
        <f t="shared" si="0"/>
        <v>7.3</v>
      </c>
      <c r="L25" s="10" t="s">
        <v>84</v>
      </c>
      <c r="M25" s="7">
        <v>2.5</v>
      </c>
      <c r="N25" s="5">
        <v>0</v>
      </c>
      <c r="O25" s="11">
        <f t="shared" si="1"/>
        <v>0</v>
      </c>
      <c r="P25" s="5" t="s">
        <v>85</v>
      </c>
      <c r="Q25" s="12" t="str">
        <f t="shared" si="2"/>
        <v>Study Next</v>
      </c>
      <c r="R25" s="13" t="s">
        <v>142</v>
      </c>
      <c r="S25" s="12">
        <f t="shared" si="3"/>
        <v>7.3002500000000001</v>
      </c>
      <c r="T25" s="12">
        <f t="shared" si="4"/>
        <v>7.0002500000000003</v>
      </c>
      <c r="U25" s="12">
        <f t="shared" si="5"/>
        <v>2.70025</v>
      </c>
      <c r="V25" s="12">
        <f t="shared" si="6"/>
        <v>2.5000000000000001E-4</v>
      </c>
    </row>
    <row r="26" spans="1:22" ht="22.05" customHeight="1">
      <c r="A26" s="5" t="s">
        <v>80</v>
      </c>
      <c r="B26" s="6" t="s">
        <v>132</v>
      </c>
      <c r="C26" s="6" t="s">
        <v>143</v>
      </c>
      <c r="D26" s="7" t="s">
        <v>83</v>
      </c>
      <c r="E26" s="7">
        <v>14</v>
      </c>
      <c r="F26" s="8">
        <v>1</v>
      </c>
      <c r="G26" s="5">
        <v>2</v>
      </c>
      <c r="H26" s="7">
        <v>3</v>
      </c>
      <c r="I26" s="5">
        <v>3</v>
      </c>
      <c r="J26" s="7">
        <v>4</v>
      </c>
      <c r="K26" s="9">
        <f t="shared" si="0"/>
        <v>7.3</v>
      </c>
      <c r="L26" s="10" t="s">
        <v>88</v>
      </c>
      <c r="M26" s="7">
        <v>3</v>
      </c>
      <c r="N26" s="5">
        <v>0</v>
      </c>
      <c r="O26" s="11">
        <f t="shared" si="1"/>
        <v>0</v>
      </c>
      <c r="P26" s="5" t="s">
        <v>85</v>
      </c>
      <c r="Q26" s="12" t="str">
        <f t="shared" si="2"/>
        <v>Study Next</v>
      </c>
      <c r="R26" s="13" t="s">
        <v>144</v>
      </c>
      <c r="S26" s="12">
        <f t="shared" si="3"/>
        <v>7.3002599999999997</v>
      </c>
      <c r="T26" s="12">
        <f t="shared" si="4"/>
        <v>7.0002599999999999</v>
      </c>
      <c r="U26" s="12">
        <f t="shared" si="5"/>
        <v>2.7002600000000001</v>
      </c>
      <c r="V26" s="12">
        <f t="shared" si="6"/>
        <v>2.5999999999999998E-4</v>
      </c>
    </row>
    <row r="27" spans="1:22" ht="22.05" customHeight="1">
      <c r="A27" s="5" t="s">
        <v>80</v>
      </c>
      <c r="B27" s="6" t="s">
        <v>145</v>
      </c>
      <c r="C27" s="6" t="s">
        <v>146</v>
      </c>
      <c r="D27" s="7" t="s">
        <v>121</v>
      </c>
      <c r="E27" s="7">
        <v>7</v>
      </c>
      <c r="F27" s="14">
        <v>2</v>
      </c>
      <c r="G27" s="5">
        <v>2</v>
      </c>
      <c r="H27" s="7">
        <v>4</v>
      </c>
      <c r="I27" s="5">
        <v>4</v>
      </c>
      <c r="J27" s="7">
        <v>3</v>
      </c>
      <c r="K27" s="9">
        <f t="shared" si="0"/>
        <v>4.3</v>
      </c>
      <c r="L27" s="10" t="s">
        <v>84</v>
      </c>
      <c r="M27" s="7">
        <v>2.5</v>
      </c>
      <c r="N27" s="5">
        <v>0</v>
      </c>
      <c r="O27" s="11">
        <f t="shared" si="1"/>
        <v>0</v>
      </c>
      <c r="P27" s="5" t="s">
        <v>85</v>
      </c>
      <c r="Q27" s="12" t="str">
        <f t="shared" si="2"/>
        <v>Practice</v>
      </c>
      <c r="R27" s="13" t="s">
        <v>147</v>
      </c>
      <c r="S27" s="12">
        <f t="shared" si="3"/>
        <v>4.3002700000000003</v>
      </c>
      <c r="T27" s="12">
        <f t="shared" si="4"/>
        <v>3.00027</v>
      </c>
      <c r="U27" s="12">
        <f t="shared" si="5"/>
        <v>5.7002700000000006</v>
      </c>
      <c r="V27" s="12">
        <f t="shared" si="6"/>
        <v>2.7002700000000002</v>
      </c>
    </row>
    <row r="28" spans="1:22" ht="22.05" customHeight="1">
      <c r="A28" s="5" t="s">
        <v>80</v>
      </c>
      <c r="B28" s="6" t="s">
        <v>145</v>
      </c>
      <c r="C28" s="6" t="s">
        <v>148</v>
      </c>
      <c r="D28" s="7" t="s">
        <v>121</v>
      </c>
      <c r="E28" s="7">
        <v>7</v>
      </c>
      <c r="F28" s="14">
        <v>2</v>
      </c>
      <c r="G28" s="5">
        <v>2</v>
      </c>
      <c r="H28" s="7">
        <v>3</v>
      </c>
      <c r="I28" s="5">
        <v>3</v>
      </c>
      <c r="J28" s="7">
        <v>3</v>
      </c>
      <c r="K28" s="9">
        <f t="shared" si="0"/>
        <v>4.3499999999999996</v>
      </c>
      <c r="L28" s="10" t="s">
        <v>84</v>
      </c>
      <c r="M28" s="7">
        <v>2</v>
      </c>
      <c r="N28" s="5">
        <v>0</v>
      </c>
      <c r="O28" s="11">
        <f t="shared" si="1"/>
        <v>0</v>
      </c>
      <c r="P28" s="5" t="s">
        <v>85</v>
      </c>
      <c r="Q28" s="12" t="str">
        <f t="shared" si="2"/>
        <v>Practice</v>
      </c>
      <c r="R28" s="13" t="s">
        <v>149</v>
      </c>
      <c r="S28" s="12">
        <f t="shared" si="3"/>
        <v>4.3502799999999997</v>
      </c>
      <c r="T28" s="12">
        <f t="shared" si="4"/>
        <v>5.0002800000000001</v>
      </c>
      <c r="U28" s="12">
        <f t="shared" si="5"/>
        <v>5.6502800000000004</v>
      </c>
      <c r="V28" s="12">
        <f t="shared" si="6"/>
        <v>3.7002800000000002</v>
      </c>
    </row>
    <row r="29" spans="1:22" ht="22.05" customHeight="1">
      <c r="A29" s="5" t="s">
        <v>80</v>
      </c>
      <c r="B29" s="6" t="s">
        <v>145</v>
      </c>
      <c r="C29" s="6" t="s">
        <v>150</v>
      </c>
      <c r="D29" s="7" t="s">
        <v>121</v>
      </c>
      <c r="E29" s="7">
        <v>7</v>
      </c>
      <c r="F29" s="14">
        <v>2</v>
      </c>
      <c r="G29" s="5">
        <v>2</v>
      </c>
      <c r="H29" s="7">
        <v>4</v>
      </c>
      <c r="I29" s="5">
        <v>4</v>
      </c>
      <c r="J29" s="7">
        <v>3</v>
      </c>
      <c r="K29" s="9">
        <f t="shared" si="0"/>
        <v>4.3</v>
      </c>
      <c r="L29" s="10" t="s">
        <v>84</v>
      </c>
      <c r="M29" s="7">
        <v>2.5</v>
      </c>
      <c r="N29" s="5">
        <v>0</v>
      </c>
      <c r="O29" s="11">
        <f t="shared" si="1"/>
        <v>0</v>
      </c>
      <c r="P29" s="5" t="s">
        <v>85</v>
      </c>
      <c r="Q29" s="12" t="str">
        <f t="shared" si="2"/>
        <v>Practice</v>
      </c>
      <c r="R29" s="13" t="s">
        <v>151</v>
      </c>
      <c r="S29" s="12">
        <f t="shared" si="3"/>
        <v>4.3002899999999995</v>
      </c>
      <c r="T29" s="12">
        <f t="shared" si="4"/>
        <v>3.0002900000000001</v>
      </c>
      <c r="U29" s="12">
        <f t="shared" si="5"/>
        <v>5.7002899999999999</v>
      </c>
      <c r="V29" s="12">
        <f t="shared" si="6"/>
        <v>2.7002900000000003</v>
      </c>
    </row>
    <row r="30" spans="1:22" ht="22.05" customHeight="1">
      <c r="A30" s="5" t="s">
        <v>80</v>
      </c>
      <c r="B30" s="6" t="s">
        <v>145</v>
      </c>
      <c r="C30" s="6" t="s">
        <v>152</v>
      </c>
      <c r="D30" s="7" t="s">
        <v>121</v>
      </c>
      <c r="E30" s="7">
        <v>7</v>
      </c>
      <c r="F30" s="14">
        <v>2</v>
      </c>
      <c r="G30" s="5">
        <v>2</v>
      </c>
      <c r="H30" s="7">
        <v>4</v>
      </c>
      <c r="I30" s="5">
        <v>3</v>
      </c>
      <c r="J30" s="7">
        <v>3</v>
      </c>
      <c r="K30" s="9">
        <f t="shared" si="0"/>
        <v>4.3499999999999996</v>
      </c>
      <c r="L30" s="10" t="s">
        <v>84</v>
      </c>
      <c r="M30" s="7">
        <v>2</v>
      </c>
      <c r="N30" s="5">
        <v>0</v>
      </c>
      <c r="O30" s="11">
        <f t="shared" si="1"/>
        <v>0</v>
      </c>
      <c r="P30" s="5" t="s">
        <v>85</v>
      </c>
      <c r="Q30" s="12" t="str">
        <f t="shared" si="2"/>
        <v>Practice</v>
      </c>
      <c r="R30" s="13" t="s">
        <v>153</v>
      </c>
      <c r="S30" s="12">
        <f t="shared" si="3"/>
        <v>4.3502999999999998</v>
      </c>
      <c r="T30" s="12">
        <f t="shared" si="4"/>
        <v>4.0003000000000002</v>
      </c>
      <c r="U30" s="12">
        <f t="shared" si="5"/>
        <v>5.6503000000000005</v>
      </c>
      <c r="V30" s="12">
        <f t="shared" si="6"/>
        <v>3.2003000000000004</v>
      </c>
    </row>
    <row r="31" spans="1:22" ht="22.05" customHeight="1">
      <c r="A31" s="5" t="s">
        <v>80</v>
      </c>
      <c r="B31" s="6" t="s">
        <v>154</v>
      </c>
      <c r="C31" s="6" t="s">
        <v>155</v>
      </c>
      <c r="D31" s="7" t="s">
        <v>121</v>
      </c>
      <c r="E31" s="7">
        <v>7</v>
      </c>
      <c r="F31" s="14">
        <v>2</v>
      </c>
      <c r="G31" s="5">
        <v>2</v>
      </c>
      <c r="H31" s="7">
        <v>2</v>
      </c>
      <c r="I31" s="5">
        <v>2</v>
      </c>
      <c r="J31" s="7">
        <v>4</v>
      </c>
      <c r="K31" s="9">
        <f t="shared" si="0"/>
        <v>4.5999999999999996</v>
      </c>
      <c r="L31" s="10" t="s">
        <v>84</v>
      </c>
      <c r="M31" s="7">
        <v>1.5</v>
      </c>
      <c r="N31" s="5">
        <v>0</v>
      </c>
      <c r="O31" s="11">
        <f t="shared" si="1"/>
        <v>0</v>
      </c>
      <c r="P31" s="5" t="s">
        <v>85</v>
      </c>
      <c r="Q31" s="12" t="str">
        <f t="shared" si="2"/>
        <v>Study This Week</v>
      </c>
      <c r="R31" s="13" t="s">
        <v>156</v>
      </c>
      <c r="S31" s="12">
        <f t="shared" si="3"/>
        <v>4.6003099999999995</v>
      </c>
      <c r="T31" s="12">
        <f t="shared" si="4"/>
        <v>9.0003100000000007</v>
      </c>
      <c r="U31" s="12">
        <f t="shared" si="5"/>
        <v>5.4003100000000002</v>
      </c>
      <c r="V31" s="12">
        <f t="shared" si="6"/>
        <v>5.70031</v>
      </c>
    </row>
    <row r="32" spans="1:22" ht="22.05" customHeight="1">
      <c r="A32" s="5" t="s">
        <v>80</v>
      </c>
      <c r="B32" s="6" t="s">
        <v>154</v>
      </c>
      <c r="C32" s="6" t="s">
        <v>157</v>
      </c>
      <c r="D32" s="7" t="s">
        <v>121</v>
      </c>
      <c r="E32" s="7">
        <v>7</v>
      </c>
      <c r="F32" s="14">
        <v>2</v>
      </c>
      <c r="G32" s="5">
        <v>2</v>
      </c>
      <c r="H32" s="7">
        <v>3</v>
      </c>
      <c r="I32" s="5">
        <v>3</v>
      </c>
      <c r="J32" s="7">
        <v>3</v>
      </c>
      <c r="K32" s="9">
        <f t="shared" si="0"/>
        <v>4.3499999999999996</v>
      </c>
      <c r="L32" s="10" t="s">
        <v>84</v>
      </c>
      <c r="M32" s="7">
        <v>2</v>
      </c>
      <c r="N32" s="5">
        <v>0</v>
      </c>
      <c r="O32" s="11">
        <f t="shared" si="1"/>
        <v>0</v>
      </c>
      <c r="P32" s="5" t="s">
        <v>85</v>
      </c>
      <c r="Q32" s="12" t="str">
        <f t="shared" si="2"/>
        <v>Practice</v>
      </c>
      <c r="R32" s="13" t="s">
        <v>158</v>
      </c>
      <c r="S32" s="12">
        <f t="shared" si="3"/>
        <v>4.35032</v>
      </c>
      <c r="T32" s="12">
        <f t="shared" si="4"/>
        <v>5.0003200000000003</v>
      </c>
      <c r="U32" s="12">
        <f t="shared" si="5"/>
        <v>5.6503200000000007</v>
      </c>
      <c r="V32" s="12">
        <f t="shared" si="6"/>
        <v>3.7003200000000001</v>
      </c>
    </row>
    <row r="33" spans="1:22" ht="22.05" customHeight="1">
      <c r="A33" s="5" t="s">
        <v>80</v>
      </c>
      <c r="B33" s="6" t="s">
        <v>154</v>
      </c>
      <c r="C33" s="6" t="s">
        <v>159</v>
      </c>
      <c r="D33" s="7" t="s">
        <v>121</v>
      </c>
      <c r="E33" s="7">
        <v>7</v>
      </c>
      <c r="F33" s="14">
        <v>2</v>
      </c>
      <c r="G33" s="5">
        <v>2</v>
      </c>
      <c r="H33" s="7">
        <v>4</v>
      </c>
      <c r="I33" s="5">
        <v>4</v>
      </c>
      <c r="J33" s="7">
        <v>2</v>
      </c>
      <c r="K33" s="9">
        <f t="shared" si="0"/>
        <v>4.0999999999999996</v>
      </c>
      <c r="L33" s="10" t="s">
        <v>91</v>
      </c>
      <c r="M33" s="7">
        <v>1.5</v>
      </c>
      <c r="N33" s="5">
        <v>0</v>
      </c>
      <c r="O33" s="11">
        <f t="shared" si="1"/>
        <v>0</v>
      </c>
      <c r="P33" s="5" t="s">
        <v>85</v>
      </c>
      <c r="Q33" s="12" t="str">
        <f t="shared" si="2"/>
        <v>Practice</v>
      </c>
      <c r="R33" s="13" t="s">
        <v>160</v>
      </c>
      <c r="S33" s="12">
        <f t="shared" si="3"/>
        <v>4.1003299999999996</v>
      </c>
      <c r="T33" s="12">
        <f t="shared" si="4"/>
        <v>1.0003299999999999</v>
      </c>
      <c r="U33" s="12">
        <f t="shared" si="5"/>
        <v>5.9003300000000003</v>
      </c>
      <c r="V33" s="12">
        <f t="shared" si="6"/>
        <v>1.7003299999999999</v>
      </c>
    </row>
    <row r="34" spans="1:22" ht="22.05" customHeight="1">
      <c r="A34" s="5" t="s">
        <v>80</v>
      </c>
      <c r="B34" s="6" t="s">
        <v>154</v>
      </c>
      <c r="C34" s="6" t="s">
        <v>161</v>
      </c>
      <c r="D34" s="7" t="s">
        <v>121</v>
      </c>
      <c r="E34" s="7">
        <v>7</v>
      </c>
      <c r="F34" s="14">
        <v>2</v>
      </c>
      <c r="G34" s="5">
        <v>2</v>
      </c>
      <c r="H34" s="7">
        <v>4</v>
      </c>
      <c r="I34" s="5">
        <v>4</v>
      </c>
      <c r="J34" s="7">
        <v>2</v>
      </c>
      <c r="K34" s="9">
        <f t="shared" ref="K34:K65" si="7">IF(A34="No",0,IF(P34="Skipped",0,ROUND((E34*0.35+(6-G34)*0.25+J34*0.2+IF(F34=1,5,IF(F34=2,3,1))*0.15-I34*0.05)*IF(A34="Later",0.5,1)*IF(OR(IFERROR(N34/M34,0)&gt;=1,P34="Exam Ready"),0.1,1),2)))</f>
        <v>4.0999999999999996</v>
      </c>
      <c r="L34" s="10" t="s">
        <v>91</v>
      </c>
      <c r="M34" s="7">
        <v>1.5</v>
      </c>
      <c r="N34" s="5">
        <v>0</v>
      </c>
      <c r="O34" s="11">
        <f t="shared" ref="O34:O65" si="8">IFERROR(MIN(N34/M34,1),0)</f>
        <v>0</v>
      </c>
      <c r="P34" s="5" t="s">
        <v>85</v>
      </c>
      <c r="Q34" s="12" t="str">
        <f t="shared" ref="Q34:Q65" si="9">IF(A34="No","Skip for Now",IF(A34="Later","Defer",IF(OR(O34&gt;=1,P34="Exam Ready"),"Keep Warm",IF(P34="Skipped","Skip for Now",IF(K34&gt;=6,"Study Next",IF(K34&gt;=4.5,"Study This Week",IF(K34&gt;=3,"Practice","Review")))))))</f>
        <v>Practice</v>
      </c>
      <c r="R34" s="13" t="s">
        <v>162</v>
      </c>
      <c r="S34" s="12">
        <f t="shared" ref="S34:S65" si="10">K34+ROW()/100000</f>
        <v>4.1003399999999992</v>
      </c>
      <c r="T34" s="12">
        <f t="shared" ref="T34:T65" si="11">IF(A34="No",0,IF(P34="Skipped",0,(J34*2-H34-I34+5)*IF(O34&gt;=1,0.1,1)))+ROW()/100000</f>
        <v>1.00034</v>
      </c>
      <c r="U34" s="12">
        <f t="shared" ref="U34:U65" si="12">IF(A34="Yes",10-K34,0)+ROW()/100000</f>
        <v>5.9003399999999999</v>
      </c>
      <c r="V34" s="12">
        <f t="shared" ref="V34:V65" si="13">IF(A34="No",0,IF(P34="Skipped",0,IF(F34=1,0,IF(O34&gt;=1,0,(J34*2-H34-I34+5)*0.5+(6-G34)*0.3))))+ROW()/100000</f>
        <v>1.70034</v>
      </c>
    </row>
    <row r="35" spans="1:22" ht="22.05" customHeight="1">
      <c r="A35" s="5" t="s">
        <v>80</v>
      </c>
      <c r="B35" s="6" t="s">
        <v>154</v>
      </c>
      <c r="C35" s="6" t="s">
        <v>163</v>
      </c>
      <c r="D35" s="7" t="s">
        <v>121</v>
      </c>
      <c r="E35" s="7">
        <v>7</v>
      </c>
      <c r="F35" s="14">
        <v>2</v>
      </c>
      <c r="G35" s="5">
        <v>2</v>
      </c>
      <c r="H35" s="7">
        <v>4</v>
      </c>
      <c r="I35" s="5">
        <v>4</v>
      </c>
      <c r="J35" s="7">
        <v>2</v>
      </c>
      <c r="K35" s="9">
        <f t="shared" si="7"/>
        <v>4.0999999999999996</v>
      </c>
      <c r="L35" s="10" t="s">
        <v>91</v>
      </c>
      <c r="M35" s="7">
        <v>1</v>
      </c>
      <c r="N35" s="5">
        <v>0</v>
      </c>
      <c r="O35" s="11">
        <f t="shared" si="8"/>
        <v>0</v>
      </c>
      <c r="P35" s="5" t="s">
        <v>85</v>
      </c>
      <c r="Q35" s="12" t="str">
        <f t="shared" si="9"/>
        <v>Practice</v>
      </c>
      <c r="R35" s="13" t="s">
        <v>164</v>
      </c>
      <c r="S35" s="12">
        <f t="shared" si="10"/>
        <v>4.1003499999999997</v>
      </c>
      <c r="T35" s="12">
        <f t="shared" si="11"/>
        <v>1.0003500000000001</v>
      </c>
      <c r="U35" s="12">
        <f t="shared" si="12"/>
        <v>5.9003500000000004</v>
      </c>
      <c r="V35" s="12">
        <f t="shared" si="13"/>
        <v>1.70035</v>
      </c>
    </row>
    <row r="36" spans="1:22" ht="22.05" customHeight="1">
      <c r="A36" s="5" t="s">
        <v>80</v>
      </c>
      <c r="B36" s="6" t="s">
        <v>165</v>
      </c>
      <c r="C36" s="6" t="s">
        <v>166</v>
      </c>
      <c r="D36" s="7" t="s">
        <v>167</v>
      </c>
      <c r="E36" s="7">
        <v>9</v>
      </c>
      <c r="F36" s="8">
        <v>1</v>
      </c>
      <c r="G36" s="5">
        <v>2</v>
      </c>
      <c r="H36" s="7">
        <v>2</v>
      </c>
      <c r="I36" s="5">
        <v>3</v>
      </c>
      <c r="J36" s="7">
        <v>3</v>
      </c>
      <c r="K36" s="9">
        <f t="shared" si="7"/>
        <v>5.35</v>
      </c>
      <c r="L36" s="10" t="s">
        <v>84</v>
      </c>
      <c r="M36" s="7">
        <v>1.5</v>
      </c>
      <c r="N36" s="5">
        <v>0</v>
      </c>
      <c r="O36" s="11">
        <f t="shared" si="8"/>
        <v>0</v>
      </c>
      <c r="P36" s="5" t="s">
        <v>85</v>
      </c>
      <c r="Q36" s="12" t="str">
        <f t="shared" si="9"/>
        <v>Study This Week</v>
      </c>
      <c r="R36" s="13" t="s">
        <v>168</v>
      </c>
      <c r="S36" s="12">
        <f t="shared" si="10"/>
        <v>5.3503599999999993</v>
      </c>
      <c r="T36" s="12">
        <f t="shared" si="11"/>
        <v>6.0003599999999997</v>
      </c>
      <c r="U36" s="12">
        <f t="shared" si="12"/>
        <v>4.65036</v>
      </c>
      <c r="V36" s="12">
        <f t="shared" si="13"/>
        <v>3.6000000000000002E-4</v>
      </c>
    </row>
    <row r="37" spans="1:22" ht="22.05" customHeight="1">
      <c r="A37" s="5" t="s">
        <v>80</v>
      </c>
      <c r="B37" s="6" t="s">
        <v>165</v>
      </c>
      <c r="C37" s="6" t="s">
        <v>169</v>
      </c>
      <c r="D37" s="7" t="s">
        <v>167</v>
      </c>
      <c r="E37" s="7">
        <v>9</v>
      </c>
      <c r="F37" s="8">
        <v>1</v>
      </c>
      <c r="G37" s="5">
        <v>2</v>
      </c>
      <c r="H37" s="7">
        <v>2</v>
      </c>
      <c r="I37" s="5">
        <v>2</v>
      </c>
      <c r="J37" s="7">
        <v>4</v>
      </c>
      <c r="K37" s="9">
        <f t="shared" si="7"/>
        <v>5.6</v>
      </c>
      <c r="L37" s="10" t="s">
        <v>88</v>
      </c>
      <c r="M37" s="7">
        <v>2.5</v>
      </c>
      <c r="N37" s="5">
        <v>0</v>
      </c>
      <c r="O37" s="11">
        <f t="shared" si="8"/>
        <v>0</v>
      </c>
      <c r="P37" s="5" t="s">
        <v>85</v>
      </c>
      <c r="Q37" s="12" t="str">
        <f t="shared" si="9"/>
        <v>Study This Week</v>
      </c>
      <c r="R37" s="13" t="s">
        <v>170</v>
      </c>
      <c r="S37" s="12">
        <f t="shared" si="10"/>
        <v>5.6003699999999998</v>
      </c>
      <c r="T37" s="12">
        <f t="shared" si="11"/>
        <v>9.0003700000000002</v>
      </c>
      <c r="U37" s="12">
        <f t="shared" si="12"/>
        <v>4.4003700000000006</v>
      </c>
      <c r="V37" s="12">
        <f t="shared" si="13"/>
        <v>3.6999999999999999E-4</v>
      </c>
    </row>
    <row r="38" spans="1:22" ht="22.05" customHeight="1">
      <c r="A38" s="5" t="s">
        <v>80</v>
      </c>
      <c r="B38" s="6" t="s">
        <v>165</v>
      </c>
      <c r="C38" s="6" t="s">
        <v>171</v>
      </c>
      <c r="D38" s="7" t="s">
        <v>167</v>
      </c>
      <c r="E38" s="7">
        <v>9</v>
      </c>
      <c r="F38" s="8">
        <v>1</v>
      </c>
      <c r="G38" s="5">
        <v>2</v>
      </c>
      <c r="H38" s="7">
        <v>4</v>
      </c>
      <c r="I38" s="5">
        <v>3</v>
      </c>
      <c r="J38" s="7">
        <v>3</v>
      </c>
      <c r="K38" s="9">
        <f t="shared" si="7"/>
        <v>5.35</v>
      </c>
      <c r="L38" s="10" t="s">
        <v>84</v>
      </c>
      <c r="M38" s="7">
        <v>2.5</v>
      </c>
      <c r="N38" s="5">
        <v>0</v>
      </c>
      <c r="O38" s="11">
        <f t="shared" si="8"/>
        <v>0</v>
      </c>
      <c r="P38" s="5" t="s">
        <v>85</v>
      </c>
      <c r="Q38" s="12" t="str">
        <f t="shared" si="9"/>
        <v>Study This Week</v>
      </c>
      <c r="R38" s="13" t="s">
        <v>172</v>
      </c>
      <c r="S38" s="12">
        <f t="shared" si="10"/>
        <v>5.3503799999999995</v>
      </c>
      <c r="T38" s="12">
        <f t="shared" si="11"/>
        <v>4.0003799999999998</v>
      </c>
      <c r="U38" s="12">
        <f t="shared" si="12"/>
        <v>4.6503800000000002</v>
      </c>
      <c r="V38" s="12">
        <f t="shared" si="13"/>
        <v>3.8000000000000002E-4</v>
      </c>
    </row>
    <row r="39" spans="1:22" ht="22.05" customHeight="1">
      <c r="A39" s="5" t="s">
        <v>80</v>
      </c>
      <c r="B39" s="6" t="s">
        <v>165</v>
      </c>
      <c r="C39" s="6" t="s">
        <v>173</v>
      </c>
      <c r="D39" s="7" t="s">
        <v>167</v>
      </c>
      <c r="E39" s="7">
        <v>9</v>
      </c>
      <c r="F39" s="8">
        <v>1</v>
      </c>
      <c r="G39" s="5">
        <v>2</v>
      </c>
      <c r="H39" s="7">
        <v>3</v>
      </c>
      <c r="I39" s="5">
        <v>3</v>
      </c>
      <c r="J39" s="7">
        <v>2</v>
      </c>
      <c r="K39" s="9">
        <f t="shared" si="7"/>
        <v>5.15</v>
      </c>
      <c r="L39" s="10" t="s">
        <v>91</v>
      </c>
      <c r="M39" s="7">
        <v>1</v>
      </c>
      <c r="N39" s="5">
        <v>0</v>
      </c>
      <c r="O39" s="11">
        <f t="shared" si="8"/>
        <v>0</v>
      </c>
      <c r="P39" s="5" t="s">
        <v>85</v>
      </c>
      <c r="Q39" s="12" t="str">
        <f t="shared" si="9"/>
        <v>Study This Week</v>
      </c>
      <c r="R39" s="13" t="s">
        <v>174</v>
      </c>
      <c r="S39" s="12">
        <f t="shared" si="10"/>
        <v>5.1503900000000007</v>
      </c>
      <c r="T39" s="12">
        <f t="shared" si="11"/>
        <v>3.0003899999999999</v>
      </c>
      <c r="U39" s="12">
        <f t="shared" si="12"/>
        <v>4.85039</v>
      </c>
      <c r="V39" s="12">
        <f t="shared" si="13"/>
        <v>3.8999999999999999E-4</v>
      </c>
    </row>
    <row r="40" spans="1:22" ht="22.05" customHeight="1">
      <c r="A40" s="5" t="s">
        <v>80</v>
      </c>
      <c r="B40" s="6" t="s">
        <v>165</v>
      </c>
      <c r="C40" s="6" t="s">
        <v>175</v>
      </c>
      <c r="D40" s="7" t="s">
        <v>167</v>
      </c>
      <c r="E40" s="7">
        <v>9</v>
      </c>
      <c r="F40" s="8">
        <v>1</v>
      </c>
      <c r="G40" s="5">
        <v>2</v>
      </c>
      <c r="H40" s="7">
        <v>3</v>
      </c>
      <c r="I40" s="5">
        <v>3</v>
      </c>
      <c r="J40" s="7">
        <v>3</v>
      </c>
      <c r="K40" s="9">
        <f t="shared" si="7"/>
        <v>5.35</v>
      </c>
      <c r="L40" s="10" t="s">
        <v>84</v>
      </c>
      <c r="M40" s="7">
        <v>2</v>
      </c>
      <c r="N40" s="5">
        <v>0</v>
      </c>
      <c r="O40" s="11">
        <f t="shared" si="8"/>
        <v>0</v>
      </c>
      <c r="P40" s="5" t="s">
        <v>85</v>
      </c>
      <c r="Q40" s="12" t="str">
        <f t="shared" si="9"/>
        <v>Study This Week</v>
      </c>
      <c r="R40" s="13" t="s">
        <v>176</v>
      </c>
      <c r="S40" s="12">
        <f t="shared" si="10"/>
        <v>5.3503999999999996</v>
      </c>
      <c r="T40" s="12">
        <f t="shared" si="11"/>
        <v>5.0004</v>
      </c>
      <c r="U40" s="12">
        <f t="shared" si="12"/>
        <v>4.6504000000000003</v>
      </c>
      <c r="V40" s="12">
        <f t="shared" si="13"/>
        <v>4.0000000000000002E-4</v>
      </c>
    </row>
    <row r="41" spans="1:22" ht="22.05" customHeight="1">
      <c r="A41" s="5" t="s">
        <v>80</v>
      </c>
      <c r="B41" s="6" t="s">
        <v>165</v>
      </c>
      <c r="C41" s="6" t="s">
        <v>177</v>
      </c>
      <c r="D41" s="7" t="s">
        <v>167</v>
      </c>
      <c r="E41" s="7">
        <v>9</v>
      </c>
      <c r="F41" s="8">
        <v>1</v>
      </c>
      <c r="G41" s="5">
        <v>2</v>
      </c>
      <c r="H41" s="7">
        <v>2</v>
      </c>
      <c r="I41" s="5">
        <v>2</v>
      </c>
      <c r="J41" s="7">
        <v>5</v>
      </c>
      <c r="K41" s="9">
        <f t="shared" si="7"/>
        <v>5.8</v>
      </c>
      <c r="L41" s="10" t="s">
        <v>88</v>
      </c>
      <c r="M41" s="7">
        <v>3</v>
      </c>
      <c r="N41" s="5">
        <v>0</v>
      </c>
      <c r="O41" s="11">
        <f t="shared" si="8"/>
        <v>0</v>
      </c>
      <c r="P41" s="5" t="s">
        <v>85</v>
      </c>
      <c r="Q41" s="12" t="str">
        <f t="shared" si="9"/>
        <v>Study This Week</v>
      </c>
      <c r="R41" s="13" t="s">
        <v>178</v>
      </c>
      <c r="S41" s="12">
        <f t="shared" si="10"/>
        <v>5.8004099999999994</v>
      </c>
      <c r="T41" s="12">
        <f t="shared" si="11"/>
        <v>11.00041</v>
      </c>
      <c r="U41" s="12">
        <f t="shared" si="12"/>
        <v>4.2004099999999998</v>
      </c>
      <c r="V41" s="12">
        <f t="shared" si="13"/>
        <v>4.0999999999999999E-4</v>
      </c>
    </row>
    <row r="42" spans="1:22" ht="22.05" customHeight="1">
      <c r="A42" s="5" t="s">
        <v>80</v>
      </c>
      <c r="B42" s="6" t="s">
        <v>165</v>
      </c>
      <c r="C42" s="6" t="s">
        <v>179</v>
      </c>
      <c r="D42" s="7" t="s">
        <v>167</v>
      </c>
      <c r="E42" s="7">
        <v>9</v>
      </c>
      <c r="F42" s="8">
        <v>1</v>
      </c>
      <c r="G42" s="5">
        <v>2</v>
      </c>
      <c r="H42" s="7">
        <v>3</v>
      </c>
      <c r="I42" s="5">
        <v>3</v>
      </c>
      <c r="J42" s="7">
        <v>3</v>
      </c>
      <c r="K42" s="9">
        <f t="shared" si="7"/>
        <v>5.35</v>
      </c>
      <c r="L42" s="10" t="s">
        <v>84</v>
      </c>
      <c r="M42" s="7">
        <v>2</v>
      </c>
      <c r="N42" s="5">
        <v>0</v>
      </c>
      <c r="O42" s="11">
        <f t="shared" si="8"/>
        <v>0</v>
      </c>
      <c r="P42" s="5" t="s">
        <v>85</v>
      </c>
      <c r="Q42" s="12" t="str">
        <f t="shared" si="9"/>
        <v>Study This Week</v>
      </c>
      <c r="R42" s="13" t="s">
        <v>180</v>
      </c>
      <c r="S42" s="12">
        <f t="shared" si="10"/>
        <v>5.3504199999999997</v>
      </c>
      <c r="T42" s="12">
        <f t="shared" si="11"/>
        <v>5.0004200000000001</v>
      </c>
      <c r="U42" s="12">
        <f t="shared" si="12"/>
        <v>4.6504200000000004</v>
      </c>
      <c r="V42" s="12">
        <f t="shared" si="13"/>
        <v>4.2000000000000002E-4</v>
      </c>
    </row>
    <row r="43" spans="1:22" ht="22.05" customHeight="1">
      <c r="A43" s="5" t="s">
        <v>80</v>
      </c>
      <c r="B43" s="6" t="s">
        <v>165</v>
      </c>
      <c r="C43" s="6" t="s">
        <v>181</v>
      </c>
      <c r="D43" s="7" t="s">
        <v>167</v>
      </c>
      <c r="E43" s="7">
        <v>9</v>
      </c>
      <c r="F43" s="8">
        <v>1</v>
      </c>
      <c r="G43" s="5">
        <v>3</v>
      </c>
      <c r="H43" s="7">
        <v>2</v>
      </c>
      <c r="I43" s="5">
        <v>3</v>
      </c>
      <c r="J43" s="7">
        <v>3</v>
      </c>
      <c r="K43" s="9">
        <f t="shared" si="7"/>
        <v>5.0999999999999996</v>
      </c>
      <c r="L43" s="10" t="s">
        <v>91</v>
      </c>
      <c r="M43" s="7">
        <v>1</v>
      </c>
      <c r="N43" s="5">
        <v>0</v>
      </c>
      <c r="O43" s="11">
        <f t="shared" si="8"/>
        <v>0</v>
      </c>
      <c r="P43" s="5" t="s">
        <v>85</v>
      </c>
      <c r="Q43" s="12" t="str">
        <f t="shared" si="9"/>
        <v>Study This Week</v>
      </c>
      <c r="R43" s="13" t="s">
        <v>182</v>
      </c>
      <c r="S43" s="12">
        <f t="shared" si="10"/>
        <v>5.1004299999999994</v>
      </c>
      <c r="T43" s="12">
        <f t="shared" si="11"/>
        <v>6.0004299999999997</v>
      </c>
      <c r="U43" s="12">
        <f t="shared" si="12"/>
        <v>4.9004300000000001</v>
      </c>
      <c r="V43" s="12">
        <f t="shared" si="13"/>
        <v>4.2999999999999999E-4</v>
      </c>
    </row>
    <row r="44" spans="1:22" ht="22.05" customHeight="1">
      <c r="A44" s="5" t="s">
        <v>80</v>
      </c>
      <c r="B44" s="6" t="s">
        <v>183</v>
      </c>
      <c r="C44" s="6" t="s">
        <v>184</v>
      </c>
      <c r="D44" s="7" t="s">
        <v>185</v>
      </c>
      <c r="E44" s="7">
        <v>10</v>
      </c>
      <c r="F44" s="8">
        <v>1</v>
      </c>
      <c r="G44" s="5">
        <v>3</v>
      </c>
      <c r="H44" s="7">
        <v>2</v>
      </c>
      <c r="I44" s="5">
        <v>2</v>
      </c>
      <c r="J44" s="7">
        <v>5</v>
      </c>
      <c r="K44" s="9">
        <f t="shared" si="7"/>
        <v>5.9</v>
      </c>
      <c r="L44" s="10" t="s">
        <v>88</v>
      </c>
      <c r="M44" s="7">
        <v>3</v>
      </c>
      <c r="N44" s="5">
        <v>0</v>
      </c>
      <c r="O44" s="11">
        <f t="shared" si="8"/>
        <v>0</v>
      </c>
      <c r="P44" s="5" t="s">
        <v>85</v>
      </c>
      <c r="Q44" s="12" t="str">
        <f t="shared" si="9"/>
        <v>Study This Week</v>
      </c>
      <c r="R44" s="13" t="s">
        <v>186</v>
      </c>
      <c r="S44" s="12">
        <f t="shared" si="10"/>
        <v>5.9004400000000006</v>
      </c>
      <c r="T44" s="12">
        <f t="shared" si="11"/>
        <v>11.000439999999999</v>
      </c>
      <c r="U44" s="12">
        <f t="shared" si="12"/>
        <v>4.1004399999999999</v>
      </c>
      <c r="V44" s="12">
        <f t="shared" si="13"/>
        <v>4.4000000000000002E-4</v>
      </c>
    </row>
    <row r="45" spans="1:22" ht="22.05" customHeight="1">
      <c r="A45" s="5" t="s">
        <v>80</v>
      </c>
      <c r="B45" s="6" t="s">
        <v>183</v>
      </c>
      <c r="C45" s="6" t="s">
        <v>187</v>
      </c>
      <c r="D45" s="7" t="s">
        <v>185</v>
      </c>
      <c r="E45" s="7">
        <v>10</v>
      </c>
      <c r="F45" s="8">
        <v>1</v>
      </c>
      <c r="G45" s="5">
        <v>2</v>
      </c>
      <c r="H45" s="7">
        <v>3</v>
      </c>
      <c r="I45" s="5">
        <v>3</v>
      </c>
      <c r="J45" s="7">
        <v>4</v>
      </c>
      <c r="K45" s="9">
        <f t="shared" si="7"/>
        <v>5.9</v>
      </c>
      <c r="L45" s="10" t="s">
        <v>88</v>
      </c>
      <c r="M45" s="7">
        <v>3</v>
      </c>
      <c r="N45" s="5">
        <v>0</v>
      </c>
      <c r="O45" s="11">
        <f t="shared" si="8"/>
        <v>0</v>
      </c>
      <c r="P45" s="5" t="s">
        <v>85</v>
      </c>
      <c r="Q45" s="12" t="str">
        <f t="shared" si="9"/>
        <v>Study This Week</v>
      </c>
      <c r="R45" s="13" t="s">
        <v>188</v>
      </c>
      <c r="S45" s="12">
        <f t="shared" si="10"/>
        <v>5.9004500000000002</v>
      </c>
      <c r="T45" s="12">
        <f t="shared" si="11"/>
        <v>7.0004499999999998</v>
      </c>
      <c r="U45" s="12">
        <f t="shared" si="12"/>
        <v>4.1004499999999995</v>
      </c>
      <c r="V45" s="12">
        <f t="shared" si="13"/>
        <v>4.4999999999999999E-4</v>
      </c>
    </row>
    <row r="46" spans="1:22" ht="22.05" customHeight="1">
      <c r="A46" s="5" t="s">
        <v>80</v>
      </c>
      <c r="B46" s="6" t="s">
        <v>183</v>
      </c>
      <c r="C46" s="6" t="s">
        <v>189</v>
      </c>
      <c r="D46" s="7" t="s">
        <v>185</v>
      </c>
      <c r="E46" s="7">
        <v>10</v>
      </c>
      <c r="F46" s="8">
        <v>1</v>
      </c>
      <c r="G46" s="5">
        <v>3</v>
      </c>
      <c r="H46" s="7">
        <v>2</v>
      </c>
      <c r="I46" s="5">
        <v>2</v>
      </c>
      <c r="J46" s="7">
        <v>5</v>
      </c>
      <c r="K46" s="9">
        <f t="shared" si="7"/>
        <v>5.9</v>
      </c>
      <c r="L46" s="10" t="s">
        <v>84</v>
      </c>
      <c r="M46" s="7">
        <v>2</v>
      </c>
      <c r="N46" s="5">
        <v>0</v>
      </c>
      <c r="O46" s="11">
        <f t="shared" si="8"/>
        <v>0</v>
      </c>
      <c r="P46" s="5" t="s">
        <v>85</v>
      </c>
      <c r="Q46" s="12" t="str">
        <f t="shared" si="9"/>
        <v>Study This Week</v>
      </c>
      <c r="R46" s="13" t="s">
        <v>190</v>
      </c>
      <c r="S46" s="12">
        <f t="shared" si="10"/>
        <v>5.9004600000000007</v>
      </c>
      <c r="T46" s="12">
        <f t="shared" si="11"/>
        <v>11.00046</v>
      </c>
      <c r="U46" s="12">
        <f t="shared" si="12"/>
        <v>4.10046</v>
      </c>
      <c r="V46" s="12">
        <f t="shared" si="13"/>
        <v>4.6000000000000001E-4</v>
      </c>
    </row>
    <row r="47" spans="1:22" ht="22.05" customHeight="1">
      <c r="A47" s="5" t="s">
        <v>80</v>
      </c>
      <c r="B47" s="6" t="s">
        <v>183</v>
      </c>
      <c r="C47" s="6" t="s">
        <v>191</v>
      </c>
      <c r="D47" s="7" t="s">
        <v>185</v>
      </c>
      <c r="E47" s="7">
        <v>10</v>
      </c>
      <c r="F47" s="8">
        <v>1</v>
      </c>
      <c r="G47" s="5">
        <v>2</v>
      </c>
      <c r="H47" s="7">
        <v>2</v>
      </c>
      <c r="I47" s="5">
        <v>3</v>
      </c>
      <c r="J47" s="7">
        <v>3</v>
      </c>
      <c r="K47" s="9">
        <f t="shared" si="7"/>
        <v>5.7</v>
      </c>
      <c r="L47" s="10" t="s">
        <v>84</v>
      </c>
      <c r="M47" s="7">
        <v>1.5</v>
      </c>
      <c r="N47" s="5">
        <v>0</v>
      </c>
      <c r="O47" s="11">
        <f t="shared" si="8"/>
        <v>0</v>
      </c>
      <c r="P47" s="5" t="s">
        <v>85</v>
      </c>
      <c r="Q47" s="12" t="str">
        <f t="shared" si="9"/>
        <v>Study This Week</v>
      </c>
      <c r="R47" s="13" t="s">
        <v>192</v>
      </c>
      <c r="S47" s="12">
        <f t="shared" si="10"/>
        <v>5.7004700000000001</v>
      </c>
      <c r="T47" s="12">
        <f t="shared" si="11"/>
        <v>6.00047</v>
      </c>
      <c r="U47" s="12">
        <f t="shared" si="12"/>
        <v>4.3004699999999998</v>
      </c>
      <c r="V47" s="12">
        <f t="shared" si="13"/>
        <v>4.6999999999999999E-4</v>
      </c>
    </row>
    <row r="48" spans="1:22" ht="22.05" customHeight="1">
      <c r="A48" s="5" t="s">
        <v>80</v>
      </c>
      <c r="B48" s="6" t="s">
        <v>183</v>
      </c>
      <c r="C48" s="6" t="s">
        <v>193</v>
      </c>
      <c r="D48" s="7" t="s">
        <v>185</v>
      </c>
      <c r="E48" s="7">
        <v>10</v>
      </c>
      <c r="F48" s="8">
        <v>1</v>
      </c>
      <c r="G48" s="5">
        <v>2</v>
      </c>
      <c r="H48" s="7">
        <v>3</v>
      </c>
      <c r="I48" s="5">
        <v>3</v>
      </c>
      <c r="J48" s="7">
        <v>4</v>
      </c>
      <c r="K48" s="9">
        <f t="shared" si="7"/>
        <v>5.9</v>
      </c>
      <c r="L48" s="10" t="s">
        <v>84</v>
      </c>
      <c r="M48" s="7">
        <v>2.5</v>
      </c>
      <c r="N48" s="5">
        <v>0</v>
      </c>
      <c r="O48" s="11">
        <f t="shared" si="8"/>
        <v>0</v>
      </c>
      <c r="P48" s="5" t="s">
        <v>85</v>
      </c>
      <c r="Q48" s="12" t="str">
        <f t="shared" si="9"/>
        <v>Study This Week</v>
      </c>
      <c r="R48" s="13" t="s">
        <v>194</v>
      </c>
      <c r="S48" s="12">
        <f t="shared" si="10"/>
        <v>5.9004799999999999</v>
      </c>
      <c r="T48" s="12">
        <f t="shared" si="11"/>
        <v>7.0004799999999996</v>
      </c>
      <c r="U48" s="12">
        <f t="shared" si="12"/>
        <v>4.1004799999999992</v>
      </c>
      <c r="V48" s="12">
        <f t="shared" si="13"/>
        <v>4.8000000000000001E-4</v>
      </c>
    </row>
    <row r="49" spans="1:22" ht="22.05" customHeight="1">
      <c r="A49" s="5" t="s">
        <v>80</v>
      </c>
      <c r="B49" s="6" t="s">
        <v>183</v>
      </c>
      <c r="C49" s="6" t="s">
        <v>195</v>
      </c>
      <c r="D49" s="7" t="s">
        <v>185</v>
      </c>
      <c r="E49" s="7">
        <v>10</v>
      </c>
      <c r="F49" s="8">
        <v>1</v>
      </c>
      <c r="G49" s="5">
        <v>2</v>
      </c>
      <c r="H49" s="7">
        <v>3</v>
      </c>
      <c r="I49" s="5">
        <v>3</v>
      </c>
      <c r="J49" s="7">
        <v>4</v>
      </c>
      <c r="K49" s="9">
        <f t="shared" si="7"/>
        <v>5.9</v>
      </c>
      <c r="L49" s="10" t="s">
        <v>84</v>
      </c>
      <c r="M49" s="7">
        <v>2.5</v>
      </c>
      <c r="N49" s="5">
        <v>0</v>
      </c>
      <c r="O49" s="11">
        <f t="shared" si="8"/>
        <v>0</v>
      </c>
      <c r="P49" s="5" t="s">
        <v>85</v>
      </c>
      <c r="Q49" s="12" t="str">
        <f t="shared" si="9"/>
        <v>Study This Week</v>
      </c>
      <c r="R49" s="13" t="s">
        <v>196</v>
      </c>
      <c r="S49" s="12">
        <f t="shared" si="10"/>
        <v>5.9004900000000005</v>
      </c>
      <c r="T49" s="12">
        <f t="shared" si="11"/>
        <v>7.0004900000000001</v>
      </c>
      <c r="U49" s="12">
        <f t="shared" si="12"/>
        <v>4.1004899999999997</v>
      </c>
      <c r="V49" s="12">
        <f t="shared" si="13"/>
        <v>4.8999999999999998E-4</v>
      </c>
    </row>
    <row r="50" spans="1:22" ht="22.05" customHeight="1">
      <c r="A50" s="5" t="s">
        <v>80</v>
      </c>
      <c r="B50" s="6" t="s">
        <v>197</v>
      </c>
      <c r="C50" s="6" t="s">
        <v>198</v>
      </c>
      <c r="D50" s="7" t="s">
        <v>104</v>
      </c>
      <c r="E50" s="7">
        <v>5</v>
      </c>
      <c r="F50" s="15">
        <v>3</v>
      </c>
      <c r="G50" s="5">
        <v>2</v>
      </c>
      <c r="H50" s="7">
        <v>4</v>
      </c>
      <c r="I50" s="5">
        <v>4</v>
      </c>
      <c r="J50" s="7">
        <v>2</v>
      </c>
      <c r="K50" s="9">
        <f t="shared" si="7"/>
        <v>3.1</v>
      </c>
      <c r="L50" s="10" t="s">
        <v>94</v>
      </c>
      <c r="M50" s="7">
        <v>1.5</v>
      </c>
      <c r="N50" s="5">
        <v>0</v>
      </c>
      <c r="O50" s="11">
        <f t="shared" si="8"/>
        <v>0</v>
      </c>
      <c r="P50" s="5" t="s">
        <v>85</v>
      </c>
      <c r="Q50" s="12" t="str">
        <f t="shared" si="9"/>
        <v>Practice</v>
      </c>
      <c r="R50" s="13" t="s">
        <v>199</v>
      </c>
      <c r="S50" s="12">
        <f t="shared" si="10"/>
        <v>3.1005000000000003</v>
      </c>
      <c r="T50" s="12">
        <f t="shared" si="11"/>
        <v>1.0004999999999999</v>
      </c>
      <c r="U50" s="12">
        <f t="shared" si="12"/>
        <v>6.9005000000000001</v>
      </c>
      <c r="V50" s="12">
        <f t="shared" si="13"/>
        <v>1.7004999999999999</v>
      </c>
    </row>
    <row r="51" spans="1:22" ht="22.05" customHeight="1">
      <c r="A51" s="5" t="s">
        <v>80</v>
      </c>
      <c r="B51" s="6" t="s">
        <v>197</v>
      </c>
      <c r="C51" s="6" t="s">
        <v>200</v>
      </c>
      <c r="D51" s="7" t="s">
        <v>104</v>
      </c>
      <c r="E51" s="7">
        <v>5</v>
      </c>
      <c r="F51" s="15">
        <v>3</v>
      </c>
      <c r="G51" s="5">
        <v>2</v>
      </c>
      <c r="H51" s="7">
        <v>4</v>
      </c>
      <c r="I51" s="5">
        <v>4</v>
      </c>
      <c r="J51" s="7">
        <v>2</v>
      </c>
      <c r="K51" s="9">
        <f t="shared" si="7"/>
        <v>3.1</v>
      </c>
      <c r="L51" s="10" t="s">
        <v>94</v>
      </c>
      <c r="M51" s="7">
        <v>1</v>
      </c>
      <c r="N51" s="5">
        <v>0</v>
      </c>
      <c r="O51" s="11">
        <f t="shared" si="8"/>
        <v>0</v>
      </c>
      <c r="P51" s="5" t="s">
        <v>85</v>
      </c>
      <c r="Q51" s="12" t="str">
        <f t="shared" si="9"/>
        <v>Practice</v>
      </c>
      <c r="R51" s="13" t="s">
        <v>201</v>
      </c>
      <c r="S51" s="12">
        <f t="shared" si="10"/>
        <v>3.1005099999999999</v>
      </c>
      <c r="T51" s="12">
        <f t="shared" si="11"/>
        <v>1.00051</v>
      </c>
      <c r="U51" s="12">
        <f t="shared" si="12"/>
        <v>6.9005100000000006</v>
      </c>
      <c r="V51" s="12">
        <f t="shared" si="13"/>
        <v>1.70051</v>
      </c>
    </row>
    <row r="52" spans="1:22" ht="22.05" customHeight="1">
      <c r="A52" s="5" t="s">
        <v>80</v>
      </c>
      <c r="B52" s="6" t="s">
        <v>197</v>
      </c>
      <c r="C52" s="6" t="s">
        <v>202</v>
      </c>
      <c r="D52" s="7" t="s">
        <v>104</v>
      </c>
      <c r="E52" s="7">
        <v>5</v>
      </c>
      <c r="F52" s="15">
        <v>3</v>
      </c>
      <c r="G52" s="5">
        <v>1</v>
      </c>
      <c r="H52" s="7">
        <v>5</v>
      </c>
      <c r="I52" s="5">
        <v>5</v>
      </c>
      <c r="J52" s="7">
        <v>1</v>
      </c>
      <c r="K52" s="9">
        <f t="shared" si="7"/>
        <v>3.1</v>
      </c>
      <c r="L52" s="10" t="s">
        <v>203</v>
      </c>
      <c r="M52" s="7">
        <v>0.5</v>
      </c>
      <c r="N52" s="5">
        <v>0</v>
      </c>
      <c r="O52" s="11">
        <f t="shared" si="8"/>
        <v>0</v>
      </c>
      <c r="P52" s="5" t="s">
        <v>85</v>
      </c>
      <c r="Q52" s="12" t="str">
        <f t="shared" si="9"/>
        <v>Practice</v>
      </c>
      <c r="R52" s="13" t="s">
        <v>204</v>
      </c>
      <c r="S52" s="12">
        <f t="shared" si="10"/>
        <v>3.1005199999999999</v>
      </c>
      <c r="T52" s="12">
        <f t="shared" si="11"/>
        <v>-2.9994800000000001</v>
      </c>
      <c r="U52" s="12">
        <f t="shared" si="12"/>
        <v>6.9005200000000002</v>
      </c>
      <c r="V52" s="12">
        <f t="shared" si="13"/>
        <v>5.1999999999999995E-4</v>
      </c>
    </row>
    <row r="53" spans="1:22" ht="22.05" customHeight="1">
      <c r="A53" s="5" t="s">
        <v>80</v>
      </c>
      <c r="B53" s="6" t="s">
        <v>197</v>
      </c>
      <c r="C53" s="6" t="s">
        <v>205</v>
      </c>
      <c r="D53" s="7" t="s">
        <v>104</v>
      </c>
      <c r="E53" s="7">
        <v>5</v>
      </c>
      <c r="F53" s="15">
        <v>3</v>
      </c>
      <c r="G53" s="5">
        <v>2</v>
      </c>
      <c r="H53" s="7">
        <v>4</v>
      </c>
      <c r="I53" s="5">
        <v>4</v>
      </c>
      <c r="J53" s="7">
        <v>2</v>
      </c>
      <c r="K53" s="9">
        <f t="shared" si="7"/>
        <v>3.1</v>
      </c>
      <c r="L53" s="10" t="s">
        <v>94</v>
      </c>
      <c r="M53" s="7">
        <v>1</v>
      </c>
      <c r="N53" s="5">
        <v>0</v>
      </c>
      <c r="O53" s="11">
        <f t="shared" si="8"/>
        <v>0</v>
      </c>
      <c r="P53" s="5" t="s">
        <v>85</v>
      </c>
      <c r="Q53" s="12" t="str">
        <f t="shared" si="9"/>
        <v>Practice</v>
      </c>
      <c r="R53" s="13" t="s">
        <v>206</v>
      </c>
      <c r="S53" s="12">
        <f t="shared" si="10"/>
        <v>3.10053</v>
      </c>
      <c r="T53" s="12">
        <f t="shared" si="11"/>
        <v>1.0005299999999999</v>
      </c>
      <c r="U53" s="12">
        <f t="shared" si="12"/>
        <v>6.9005300000000007</v>
      </c>
      <c r="V53" s="12">
        <f t="shared" si="13"/>
        <v>1.7005299999999999</v>
      </c>
    </row>
    <row r="54" spans="1:22" ht="22.05" customHeight="1">
      <c r="A54" s="5" t="s">
        <v>80</v>
      </c>
      <c r="B54" s="6" t="s">
        <v>197</v>
      </c>
      <c r="C54" s="6" t="s">
        <v>207</v>
      </c>
      <c r="D54" s="7" t="s">
        <v>104</v>
      </c>
      <c r="E54" s="7">
        <v>5</v>
      </c>
      <c r="F54" s="15">
        <v>3</v>
      </c>
      <c r="G54" s="5">
        <v>2</v>
      </c>
      <c r="H54" s="7">
        <v>4</v>
      </c>
      <c r="I54" s="5">
        <v>4</v>
      </c>
      <c r="J54" s="7">
        <v>2</v>
      </c>
      <c r="K54" s="9">
        <f t="shared" si="7"/>
        <v>3.1</v>
      </c>
      <c r="L54" s="10" t="s">
        <v>94</v>
      </c>
      <c r="M54" s="7">
        <v>1</v>
      </c>
      <c r="N54" s="5">
        <v>0</v>
      </c>
      <c r="O54" s="11">
        <f t="shared" si="8"/>
        <v>0</v>
      </c>
      <c r="P54" s="5" t="s">
        <v>85</v>
      </c>
      <c r="Q54" s="12" t="str">
        <f t="shared" si="9"/>
        <v>Practice</v>
      </c>
      <c r="R54" s="13" t="s">
        <v>208</v>
      </c>
      <c r="S54" s="12">
        <f t="shared" si="10"/>
        <v>3.1005400000000001</v>
      </c>
      <c r="T54" s="12">
        <f t="shared" si="11"/>
        <v>1.00054</v>
      </c>
      <c r="U54" s="12">
        <f t="shared" si="12"/>
        <v>6.9005400000000003</v>
      </c>
      <c r="V54" s="12">
        <f t="shared" si="13"/>
        <v>1.7005399999999999</v>
      </c>
    </row>
    <row r="55" spans="1:22" ht="22.05" customHeight="1">
      <c r="A55" s="5" t="s">
        <v>80</v>
      </c>
      <c r="B55" s="6" t="s">
        <v>209</v>
      </c>
      <c r="C55" s="6" t="s">
        <v>210</v>
      </c>
      <c r="D55" s="7" t="s">
        <v>211</v>
      </c>
      <c r="E55" s="7">
        <v>8</v>
      </c>
      <c r="F55" s="14">
        <v>2</v>
      </c>
      <c r="G55" s="5">
        <v>2</v>
      </c>
      <c r="H55" s="7">
        <v>3</v>
      </c>
      <c r="I55" s="5">
        <v>3</v>
      </c>
      <c r="J55" s="7">
        <v>4</v>
      </c>
      <c r="K55" s="9">
        <f t="shared" si="7"/>
        <v>4.9000000000000004</v>
      </c>
      <c r="L55" s="10" t="s">
        <v>84</v>
      </c>
      <c r="M55" s="7">
        <v>2.5</v>
      </c>
      <c r="N55" s="5">
        <v>0</v>
      </c>
      <c r="O55" s="11">
        <f t="shared" si="8"/>
        <v>0</v>
      </c>
      <c r="P55" s="5" t="s">
        <v>85</v>
      </c>
      <c r="Q55" s="12" t="str">
        <f t="shared" si="9"/>
        <v>Study This Week</v>
      </c>
      <c r="R55" s="13" t="s">
        <v>212</v>
      </c>
      <c r="S55" s="12">
        <f t="shared" si="10"/>
        <v>4.90055</v>
      </c>
      <c r="T55" s="12">
        <f t="shared" si="11"/>
        <v>7.0005499999999996</v>
      </c>
      <c r="U55" s="12">
        <f t="shared" si="12"/>
        <v>5.1005499999999993</v>
      </c>
      <c r="V55" s="12">
        <f t="shared" si="13"/>
        <v>4.7005499999999998</v>
      </c>
    </row>
    <row r="56" spans="1:22" ht="22.05" customHeight="1">
      <c r="A56" s="5" t="s">
        <v>80</v>
      </c>
      <c r="B56" s="6" t="s">
        <v>209</v>
      </c>
      <c r="C56" s="6" t="s">
        <v>213</v>
      </c>
      <c r="D56" s="7" t="s">
        <v>211</v>
      </c>
      <c r="E56" s="7">
        <v>8</v>
      </c>
      <c r="F56" s="14">
        <v>2</v>
      </c>
      <c r="G56" s="5">
        <v>2</v>
      </c>
      <c r="H56" s="7">
        <v>3</v>
      </c>
      <c r="I56" s="5">
        <v>3</v>
      </c>
      <c r="J56" s="7">
        <v>3</v>
      </c>
      <c r="K56" s="9">
        <f t="shared" si="7"/>
        <v>4.7</v>
      </c>
      <c r="L56" s="10" t="s">
        <v>84</v>
      </c>
      <c r="M56" s="7">
        <v>2</v>
      </c>
      <c r="N56" s="5">
        <v>0</v>
      </c>
      <c r="O56" s="11">
        <f t="shared" si="8"/>
        <v>0</v>
      </c>
      <c r="P56" s="5" t="s">
        <v>85</v>
      </c>
      <c r="Q56" s="12" t="str">
        <f t="shared" si="9"/>
        <v>Study This Week</v>
      </c>
      <c r="R56" s="13" t="s">
        <v>214</v>
      </c>
      <c r="S56" s="12">
        <f t="shared" si="10"/>
        <v>4.7005600000000003</v>
      </c>
      <c r="T56" s="12">
        <f t="shared" si="11"/>
        <v>5.0005600000000001</v>
      </c>
      <c r="U56" s="12">
        <f t="shared" si="12"/>
        <v>5.3005599999999999</v>
      </c>
      <c r="V56" s="12">
        <f t="shared" si="13"/>
        <v>3.7005600000000003</v>
      </c>
    </row>
    <row r="57" spans="1:22" ht="22.05" customHeight="1">
      <c r="A57" s="5" t="s">
        <v>80</v>
      </c>
      <c r="B57" s="6" t="s">
        <v>209</v>
      </c>
      <c r="C57" s="6" t="s">
        <v>215</v>
      </c>
      <c r="D57" s="7" t="s">
        <v>211</v>
      </c>
      <c r="E57" s="7">
        <v>8</v>
      </c>
      <c r="F57" s="14">
        <v>2</v>
      </c>
      <c r="G57" s="5">
        <v>2</v>
      </c>
      <c r="H57" s="7">
        <v>4</v>
      </c>
      <c r="I57" s="5">
        <v>3</v>
      </c>
      <c r="J57" s="7">
        <v>3</v>
      </c>
      <c r="K57" s="9">
        <f t="shared" si="7"/>
        <v>4.7</v>
      </c>
      <c r="L57" s="10" t="s">
        <v>84</v>
      </c>
      <c r="M57" s="7">
        <v>2</v>
      </c>
      <c r="N57" s="5">
        <v>0</v>
      </c>
      <c r="O57" s="11">
        <f t="shared" si="8"/>
        <v>0</v>
      </c>
      <c r="P57" s="5" t="s">
        <v>85</v>
      </c>
      <c r="Q57" s="12" t="str">
        <f t="shared" si="9"/>
        <v>Study This Week</v>
      </c>
      <c r="R57" s="13" t="s">
        <v>216</v>
      </c>
      <c r="S57" s="12">
        <f t="shared" si="10"/>
        <v>4.7005699999999999</v>
      </c>
      <c r="T57" s="12">
        <f t="shared" si="11"/>
        <v>4.0005699999999997</v>
      </c>
      <c r="U57" s="12">
        <f t="shared" si="12"/>
        <v>5.3005699999999996</v>
      </c>
      <c r="V57" s="12">
        <f t="shared" si="13"/>
        <v>3.2005700000000004</v>
      </c>
    </row>
    <row r="58" spans="1:22" ht="22.05" customHeight="1">
      <c r="A58" s="5" t="s">
        <v>80</v>
      </c>
      <c r="B58" s="6" t="s">
        <v>209</v>
      </c>
      <c r="C58" s="6" t="s">
        <v>217</v>
      </c>
      <c r="D58" s="7" t="s">
        <v>211</v>
      </c>
      <c r="E58" s="7">
        <v>8</v>
      </c>
      <c r="F58" s="14">
        <v>2</v>
      </c>
      <c r="G58" s="5">
        <v>2</v>
      </c>
      <c r="H58" s="7">
        <v>3</v>
      </c>
      <c r="I58" s="5">
        <v>3</v>
      </c>
      <c r="J58" s="7">
        <v>3</v>
      </c>
      <c r="K58" s="9">
        <f t="shared" si="7"/>
        <v>4.7</v>
      </c>
      <c r="L58" s="10" t="s">
        <v>84</v>
      </c>
      <c r="M58" s="7">
        <v>2</v>
      </c>
      <c r="N58" s="5">
        <v>0</v>
      </c>
      <c r="O58" s="11">
        <f t="shared" si="8"/>
        <v>0</v>
      </c>
      <c r="P58" s="5" t="s">
        <v>85</v>
      </c>
      <c r="Q58" s="12" t="str">
        <f t="shared" si="9"/>
        <v>Study This Week</v>
      </c>
      <c r="R58" s="13" t="s">
        <v>218</v>
      </c>
      <c r="S58" s="12">
        <f t="shared" si="10"/>
        <v>4.7005800000000004</v>
      </c>
      <c r="T58" s="12">
        <f t="shared" si="11"/>
        <v>5.0005800000000002</v>
      </c>
      <c r="U58" s="12">
        <f t="shared" si="12"/>
        <v>5.3005800000000001</v>
      </c>
      <c r="V58" s="12">
        <f t="shared" si="13"/>
        <v>3.70058</v>
      </c>
    </row>
    <row r="59" spans="1:22" ht="22.05" customHeight="1">
      <c r="A59" s="5" t="s">
        <v>80</v>
      </c>
      <c r="B59" s="6" t="s">
        <v>219</v>
      </c>
      <c r="C59" s="6" t="s">
        <v>220</v>
      </c>
      <c r="D59" s="7" t="s">
        <v>121</v>
      </c>
      <c r="E59" s="7">
        <v>7</v>
      </c>
      <c r="F59" s="14">
        <v>2</v>
      </c>
      <c r="G59" s="5">
        <v>2</v>
      </c>
      <c r="H59" s="7">
        <v>2</v>
      </c>
      <c r="I59" s="5">
        <v>2</v>
      </c>
      <c r="J59" s="7">
        <v>4</v>
      </c>
      <c r="K59" s="9">
        <f t="shared" si="7"/>
        <v>4.5999999999999996</v>
      </c>
      <c r="L59" s="10" t="s">
        <v>84</v>
      </c>
      <c r="M59" s="7">
        <v>1.5</v>
      </c>
      <c r="N59" s="5">
        <v>0</v>
      </c>
      <c r="O59" s="11">
        <f t="shared" si="8"/>
        <v>0</v>
      </c>
      <c r="P59" s="5" t="s">
        <v>85</v>
      </c>
      <c r="Q59" s="12" t="str">
        <f t="shared" si="9"/>
        <v>Study This Week</v>
      </c>
      <c r="R59" s="13" t="s">
        <v>221</v>
      </c>
      <c r="S59" s="12">
        <f t="shared" si="10"/>
        <v>4.6005899999999995</v>
      </c>
      <c r="T59" s="12">
        <f t="shared" si="11"/>
        <v>9.0005900000000008</v>
      </c>
      <c r="U59" s="12">
        <f t="shared" si="12"/>
        <v>5.4005900000000002</v>
      </c>
      <c r="V59" s="12">
        <f t="shared" si="13"/>
        <v>5.70059</v>
      </c>
    </row>
    <row r="60" spans="1:22" ht="22.05" customHeight="1">
      <c r="A60" s="5" t="s">
        <v>80</v>
      </c>
      <c r="B60" s="6" t="s">
        <v>219</v>
      </c>
      <c r="C60" s="6" t="s">
        <v>222</v>
      </c>
      <c r="D60" s="7" t="s">
        <v>121</v>
      </c>
      <c r="E60" s="7">
        <v>7</v>
      </c>
      <c r="F60" s="14">
        <v>2</v>
      </c>
      <c r="G60" s="5">
        <v>2</v>
      </c>
      <c r="H60" s="7">
        <v>3</v>
      </c>
      <c r="I60" s="5">
        <v>3</v>
      </c>
      <c r="J60" s="7">
        <v>3</v>
      </c>
      <c r="K60" s="9">
        <f t="shared" si="7"/>
        <v>4.3499999999999996</v>
      </c>
      <c r="L60" s="10" t="s">
        <v>84</v>
      </c>
      <c r="M60" s="7">
        <v>1.5</v>
      </c>
      <c r="N60" s="5">
        <v>0</v>
      </c>
      <c r="O60" s="11">
        <f t="shared" si="8"/>
        <v>0</v>
      </c>
      <c r="P60" s="5" t="s">
        <v>85</v>
      </c>
      <c r="Q60" s="12" t="str">
        <f t="shared" si="9"/>
        <v>Practice</v>
      </c>
      <c r="R60" s="13" t="s">
        <v>223</v>
      </c>
      <c r="S60" s="12">
        <f t="shared" si="10"/>
        <v>4.3506</v>
      </c>
      <c r="T60" s="12">
        <f t="shared" si="11"/>
        <v>5.0006000000000004</v>
      </c>
      <c r="U60" s="12">
        <f t="shared" si="12"/>
        <v>5.6506000000000007</v>
      </c>
      <c r="V60" s="12">
        <f t="shared" si="13"/>
        <v>3.7006000000000001</v>
      </c>
    </row>
    <row r="61" spans="1:22" ht="22.05" customHeight="1">
      <c r="A61" s="5" t="s">
        <v>80</v>
      </c>
      <c r="B61" s="6" t="s">
        <v>219</v>
      </c>
      <c r="C61" s="6" t="s">
        <v>224</v>
      </c>
      <c r="D61" s="7" t="s">
        <v>121</v>
      </c>
      <c r="E61" s="7">
        <v>7</v>
      </c>
      <c r="F61" s="14">
        <v>2</v>
      </c>
      <c r="G61" s="5">
        <v>2</v>
      </c>
      <c r="H61" s="7">
        <v>3</v>
      </c>
      <c r="I61" s="5">
        <v>3</v>
      </c>
      <c r="J61" s="7">
        <v>3</v>
      </c>
      <c r="K61" s="9">
        <f t="shared" si="7"/>
        <v>4.3499999999999996</v>
      </c>
      <c r="L61" s="10" t="s">
        <v>84</v>
      </c>
      <c r="M61" s="7">
        <v>1.5</v>
      </c>
      <c r="N61" s="5">
        <v>0</v>
      </c>
      <c r="O61" s="11">
        <f t="shared" si="8"/>
        <v>0</v>
      </c>
      <c r="P61" s="5" t="s">
        <v>85</v>
      </c>
      <c r="Q61" s="12" t="str">
        <f t="shared" si="9"/>
        <v>Practice</v>
      </c>
      <c r="R61" s="13" t="s">
        <v>225</v>
      </c>
      <c r="S61" s="12">
        <f t="shared" si="10"/>
        <v>4.3506099999999996</v>
      </c>
      <c r="T61" s="12">
        <f t="shared" si="11"/>
        <v>5.00061</v>
      </c>
      <c r="U61" s="12">
        <f t="shared" si="12"/>
        <v>5.6506100000000004</v>
      </c>
      <c r="V61" s="12">
        <f t="shared" si="13"/>
        <v>3.7006100000000002</v>
      </c>
    </row>
    <row r="62" spans="1:22" ht="22.05" customHeight="1">
      <c r="A62" s="5" t="s">
        <v>80</v>
      </c>
      <c r="B62" s="6" t="s">
        <v>219</v>
      </c>
      <c r="C62" s="6" t="s">
        <v>226</v>
      </c>
      <c r="D62" s="7" t="s">
        <v>121</v>
      </c>
      <c r="E62" s="7">
        <v>7</v>
      </c>
      <c r="F62" s="14">
        <v>2</v>
      </c>
      <c r="G62" s="5">
        <v>2</v>
      </c>
      <c r="H62" s="7">
        <v>4</v>
      </c>
      <c r="I62" s="5">
        <v>4</v>
      </c>
      <c r="J62" s="7">
        <v>3</v>
      </c>
      <c r="K62" s="9">
        <f t="shared" si="7"/>
        <v>4.3</v>
      </c>
      <c r="L62" s="10" t="s">
        <v>84</v>
      </c>
      <c r="M62" s="7">
        <v>2</v>
      </c>
      <c r="N62" s="5">
        <v>0</v>
      </c>
      <c r="O62" s="11">
        <f t="shared" si="8"/>
        <v>0</v>
      </c>
      <c r="P62" s="5" t="s">
        <v>85</v>
      </c>
      <c r="Q62" s="12" t="str">
        <f t="shared" si="9"/>
        <v>Practice</v>
      </c>
      <c r="R62" s="13" t="s">
        <v>227</v>
      </c>
      <c r="S62" s="12">
        <f t="shared" si="10"/>
        <v>4.3006199999999994</v>
      </c>
      <c r="T62" s="12">
        <f t="shared" si="11"/>
        <v>3.0006200000000001</v>
      </c>
      <c r="U62" s="12">
        <f t="shared" si="12"/>
        <v>5.7006199999999998</v>
      </c>
      <c r="V62" s="12">
        <f t="shared" si="13"/>
        <v>2.7006200000000002</v>
      </c>
    </row>
    <row r="63" spans="1:22" ht="22.05" customHeight="1">
      <c r="A63" s="5" t="s">
        <v>80</v>
      </c>
      <c r="B63" s="6" t="s">
        <v>219</v>
      </c>
      <c r="C63" s="6" t="s">
        <v>228</v>
      </c>
      <c r="D63" s="7" t="s">
        <v>121</v>
      </c>
      <c r="E63" s="7">
        <v>7</v>
      </c>
      <c r="F63" s="14">
        <v>2</v>
      </c>
      <c r="G63" s="5">
        <v>2</v>
      </c>
      <c r="H63" s="7">
        <v>3</v>
      </c>
      <c r="I63" s="5">
        <v>3</v>
      </c>
      <c r="J63" s="7">
        <v>3</v>
      </c>
      <c r="K63" s="9">
        <f t="shared" si="7"/>
        <v>4.3499999999999996</v>
      </c>
      <c r="L63" s="10" t="s">
        <v>84</v>
      </c>
      <c r="M63" s="7">
        <v>1.5</v>
      </c>
      <c r="N63" s="5">
        <v>0</v>
      </c>
      <c r="O63" s="11">
        <f t="shared" si="8"/>
        <v>0</v>
      </c>
      <c r="P63" s="5" t="s">
        <v>85</v>
      </c>
      <c r="Q63" s="12" t="str">
        <f t="shared" si="9"/>
        <v>Practice</v>
      </c>
      <c r="R63" s="13" t="s">
        <v>229</v>
      </c>
      <c r="S63" s="12">
        <f t="shared" si="10"/>
        <v>4.3506299999999998</v>
      </c>
      <c r="T63" s="12">
        <f t="shared" si="11"/>
        <v>5.0006300000000001</v>
      </c>
      <c r="U63" s="12">
        <f t="shared" si="12"/>
        <v>5.6506300000000005</v>
      </c>
      <c r="V63" s="12">
        <f t="shared" si="13"/>
        <v>3.7006300000000003</v>
      </c>
    </row>
    <row r="64" spans="1:22" ht="22.05" customHeight="1">
      <c r="A64" s="5" t="s">
        <v>80</v>
      </c>
      <c r="B64" s="6" t="s">
        <v>219</v>
      </c>
      <c r="C64" s="6" t="s">
        <v>230</v>
      </c>
      <c r="D64" s="7" t="s">
        <v>121</v>
      </c>
      <c r="E64" s="7">
        <v>7</v>
      </c>
      <c r="F64" s="14">
        <v>2</v>
      </c>
      <c r="G64" s="5">
        <v>3</v>
      </c>
      <c r="H64" s="7">
        <v>2</v>
      </c>
      <c r="I64" s="5">
        <v>2</v>
      </c>
      <c r="J64" s="7">
        <v>3</v>
      </c>
      <c r="K64" s="9">
        <f t="shared" si="7"/>
        <v>4.1500000000000004</v>
      </c>
      <c r="L64" s="10" t="s">
        <v>91</v>
      </c>
      <c r="M64" s="7">
        <v>1</v>
      </c>
      <c r="N64" s="5">
        <v>0</v>
      </c>
      <c r="O64" s="11">
        <f t="shared" si="8"/>
        <v>0</v>
      </c>
      <c r="P64" s="5" t="s">
        <v>85</v>
      </c>
      <c r="Q64" s="12" t="str">
        <f t="shared" si="9"/>
        <v>Practice</v>
      </c>
      <c r="R64" s="13" t="s">
        <v>231</v>
      </c>
      <c r="S64" s="12">
        <f t="shared" si="10"/>
        <v>4.1506400000000001</v>
      </c>
      <c r="T64" s="12">
        <f t="shared" si="11"/>
        <v>7.0006399999999998</v>
      </c>
      <c r="U64" s="12">
        <f t="shared" si="12"/>
        <v>5.8506399999999994</v>
      </c>
      <c r="V64" s="12">
        <f t="shared" si="13"/>
        <v>4.4006400000000001</v>
      </c>
    </row>
    <row r="65" spans="1:22" ht="22.05" customHeight="1">
      <c r="A65" s="5" t="s">
        <v>80</v>
      </c>
      <c r="B65" s="6" t="s">
        <v>232</v>
      </c>
      <c r="C65" s="6" t="s">
        <v>233</v>
      </c>
      <c r="D65" s="7" t="s">
        <v>104</v>
      </c>
      <c r="E65" s="7">
        <v>5</v>
      </c>
      <c r="F65" s="15">
        <v>3</v>
      </c>
      <c r="G65" s="5">
        <v>2</v>
      </c>
      <c r="H65" s="7">
        <v>2</v>
      </c>
      <c r="I65" s="5">
        <v>2</v>
      </c>
      <c r="J65" s="7">
        <v>3</v>
      </c>
      <c r="K65" s="9">
        <f t="shared" si="7"/>
        <v>3.4</v>
      </c>
      <c r="L65" s="10" t="s">
        <v>91</v>
      </c>
      <c r="M65" s="7">
        <v>1</v>
      </c>
      <c r="N65" s="5">
        <v>0</v>
      </c>
      <c r="O65" s="11">
        <f t="shared" si="8"/>
        <v>0</v>
      </c>
      <c r="P65" s="5" t="s">
        <v>85</v>
      </c>
      <c r="Q65" s="12" t="str">
        <f t="shared" si="9"/>
        <v>Practice</v>
      </c>
      <c r="R65" s="13" t="s">
        <v>234</v>
      </c>
      <c r="S65" s="12">
        <f t="shared" si="10"/>
        <v>3.4006499999999997</v>
      </c>
      <c r="T65" s="12">
        <f t="shared" si="11"/>
        <v>7.0006500000000003</v>
      </c>
      <c r="U65" s="12">
        <f t="shared" si="12"/>
        <v>6.6006499999999999</v>
      </c>
      <c r="V65" s="12">
        <f t="shared" si="13"/>
        <v>4.7006500000000004</v>
      </c>
    </row>
    <row r="66" spans="1:22" ht="22.05" customHeight="1">
      <c r="A66" s="5" t="s">
        <v>80</v>
      </c>
      <c r="B66" s="6" t="s">
        <v>232</v>
      </c>
      <c r="C66" s="6" t="s">
        <v>235</v>
      </c>
      <c r="D66" s="7" t="s">
        <v>104</v>
      </c>
      <c r="E66" s="7">
        <v>5</v>
      </c>
      <c r="F66" s="15">
        <v>3</v>
      </c>
      <c r="G66" s="5">
        <v>3</v>
      </c>
      <c r="H66" s="7">
        <v>2</v>
      </c>
      <c r="I66" s="5">
        <v>2</v>
      </c>
      <c r="J66" s="7">
        <v>4</v>
      </c>
      <c r="K66" s="9">
        <f t="shared" ref="K66:K97" si="14">IF(A66="No",0,IF(P66="Skipped",0,ROUND((E66*0.35+(6-G66)*0.25+J66*0.2+IF(F66=1,5,IF(F66=2,3,1))*0.15-I66*0.05)*IF(A66="Later",0.5,1)*IF(OR(IFERROR(N66/M66,0)&gt;=1,P66="Exam Ready"),0.1,1),2)))</f>
        <v>3.35</v>
      </c>
      <c r="L66" s="10" t="s">
        <v>91</v>
      </c>
      <c r="M66" s="7">
        <v>1</v>
      </c>
      <c r="N66" s="5">
        <v>0</v>
      </c>
      <c r="O66" s="11">
        <f t="shared" ref="O66:O97" si="15">IFERROR(MIN(N66/M66,1),0)</f>
        <v>0</v>
      </c>
      <c r="P66" s="5" t="s">
        <v>85</v>
      </c>
      <c r="Q66" s="12" t="str">
        <f t="shared" ref="Q66:Q97" si="16">IF(A66="No","Skip for Now",IF(A66="Later","Defer",IF(OR(O66&gt;=1,P66="Exam Ready"),"Keep Warm",IF(P66="Skipped","Skip for Now",IF(K66&gt;=6,"Study Next",IF(K66&gt;=4.5,"Study This Week",IF(K66&gt;=3,"Practice","Review")))))))</f>
        <v>Practice</v>
      </c>
      <c r="R66" s="13" t="s">
        <v>236</v>
      </c>
      <c r="S66" s="12">
        <f t="shared" ref="S66:S86" si="17">K66+ROW()/100000</f>
        <v>3.35066</v>
      </c>
      <c r="T66" s="12">
        <f t="shared" ref="T66:T86" si="18">IF(A66="No",0,IF(P66="Skipped",0,(J66*2-H66-I66+5)*IF(O66&gt;=1,0.1,1)))+ROW()/100000</f>
        <v>9.0006599999999999</v>
      </c>
      <c r="U66" s="12">
        <f t="shared" ref="U66:U86" si="19">IF(A66="Yes",10-K66,0)+ROW()/100000</f>
        <v>6.6506600000000002</v>
      </c>
      <c r="V66" s="12">
        <f t="shared" ref="V66:V86" si="20">IF(A66="No",0,IF(P66="Skipped",0,IF(F66=1,0,IF(O66&gt;=1,0,(J66*2-H66-I66+5)*0.5+(6-G66)*0.3))))+ROW()/100000</f>
        <v>5.4006600000000002</v>
      </c>
    </row>
    <row r="67" spans="1:22" ht="22.05" customHeight="1">
      <c r="A67" s="5" t="s">
        <v>80</v>
      </c>
      <c r="B67" s="6" t="s">
        <v>232</v>
      </c>
      <c r="C67" s="6" t="s">
        <v>237</v>
      </c>
      <c r="D67" s="7" t="s">
        <v>104</v>
      </c>
      <c r="E67" s="7">
        <v>5</v>
      </c>
      <c r="F67" s="15">
        <v>3</v>
      </c>
      <c r="G67" s="5">
        <v>2</v>
      </c>
      <c r="H67" s="7">
        <v>3</v>
      </c>
      <c r="I67" s="5">
        <v>3</v>
      </c>
      <c r="J67" s="7">
        <v>3</v>
      </c>
      <c r="K67" s="9">
        <f t="shared" si="14"/>
        <v>3.35</v>
      </c>
      <c r="L67" s="10" t="s">
        <v>84</v>
      </c>
      <c r="M67" s="7">
        <v>1.5</v>
      </c>
      <c r="N67" s="5">
        <v>0</v>
      </c>
      <c r="O67" s="11">
        <f t="shared" si="15"/>
        <v>0</v>
      </c>
      <c r="P67" s="5" t="s">
        <v>85</v>
      </c>
      <c r="Q67" s="12" t="str">
        <f t="shared" si="16"/>
        <v>Practice</v>
      </c>
      <c r="R67" s="13" t="s">
        <v>238</v>
      </c>
      <c r="S67" s="12">
        <f t="shared" si="17"/>
        <v>3.35067</v>
      </c>
      <c r="T67" s="12">
        <f t="shared" si="18"/>
        <v>5.0006700000000004</v>
      </c>
      <c r="U67" s="12">
        <f t="shared" si="19"/>
        <v>6.6506700000000007</v>
      </c>
      <c r="V67" s="12">
        <f t="shared" si="20"/>
        <v>3.7006700000000001</v>
      </c>
    </row>
    <row r="68" spans="1:22" ht="22.05" customHeight="1">
      <c r="A68" s="5" t="s">
        <v>80</v>
      </c>
      <c r="B68" s="6" t="s">
        <v>232</v>
      </c>
      <c r="C68" s="6" t="s">
        <v>239</v>
      </c>
      <c r="D68" s="7" t="s">
        <v>104</v>
      </c>
      <c r="E68" s="7">
        <v>5</v>
      </c>
      <c r="F68" s="15">
        <v>3</v>
      </c>
      <c r="G68" s="5">
        <v>3</v>
      </c>
      <c r="H68" s="7">
        <v>2</v>
      </c>
      <c r="I68" s="5">
        <v>2</v>
      </c>
      <c r="J68" s="7">
        <v>3</v>
      </c>
      <c r="K68" s="9">
        <f t="shared" si="14"/>
        <v>3.15</v>
      </c>
      <c r="L68" s="10" t="s">
        <v>91</v>
      </c>
      <c r="M68" s="7">
        <v>1</v>
      </c>
      <c r="N68" s="5">
        <v>0</v>
      </c>
      <c r="O68" s="11">
        <f t="shared" si="15"/>
        <v>0</v>
      </c>
      <c r="P68" s="5" t="s">
        <v>85</v>
      </c>
      <c r="Q68" s="12" t="str">
        <f t="shared" si="16"/>
        <v>Practice</v>
      </c>
      <c r="R68" s="13" t="s">
        <v>240</v>
      </c>
      <c r="S68" s="12">
        <f t="shared" si="17"/>
        <v>3.1506799999999999</v>
      </c>
      <c r="T68" s="12">
        <f t="shared" si="18"/>
        <v>7.00068</v>
      </c>
      <c r="U68" s="12">
        <f t="shared" si="19"/>
        <v>6.8506799999999997</v>
      </c>
      <c r="V68" s="12">
        <f t="shared" si="20"/>
        <v>4.4006800000000004</v>
      </c>
    </row>
    <row r="69" spans="1:22" ht="22.05" customHeight="1">
      <c r="A69" s="5" t="s">
        <v>80</v>
      </c>
      <c r="B69" s="6" t="s">
        <v>232</v>
      </c>
      <c r="C69" s="6" t="s">
        <v>241</v>
      </c>
      <c r="D69" s="7" t="s">
        <v>104</v>
      </c>
      <c r="E69" s="7">
        <v>5</v>
      </c>
      <c r="F69" s="15">
        <v>3</v>
      </c>
      <c r="G69" s="5">
        <v>3</v>
      </c>
      <c r="H69" s="7">
        <v>2</v>
      </c>
      <c r="I69" s="5">
        <v>2</v>
      </c>
      <c r="J69" s="7">
        <v>3</v>
      </c>
      <c r="K69" s="9">
        <f t="shared" si="14"/>
        <v>3.15</v>
      </c>
      <c r="L69" s="10" t="s">
        <v>91</v>
      </c>
      <c r="M69" s="7">
        <v>1</v>
      </c>
      <c r="N69" s="5">
        <v>0</v>
      </c>
      <c r="O69" s="11">
        <f t="shared" si="15"/>
        <v>0</v>
      </c>
      <c r="P69" s="5" t="s">
        <v>85</v>
      </c>
      <c r="Q69" s="12" t="str">
        <f t="shared" si="16"/>
        <v>Practice</v>
      </c>
      <c r="R69" s="13" t="s">
        <v>242</v>
      </c>
      <c r="S69" s="12">
        <f t="shared" si="17"/>
        <v>3.15069</v>
      </c>
      <c r="T69" s="12">
        <f t="shared" si="18"/>
        <v>7.0006899999999996</v>
      </c>
      <c r="U69" s="12">
        <f t="shared" si="19"/>
        <v>6.8506899999999993</v>
      </c>
      <c r="V69" s="12">
        <f t="shared" si="20"/>
        <v>4.40069</v>
      </c>
    </row>
    <row r="70" spans="1:22" ht="22.05" customHeight="1">
      <c r="A70" s="5" t="s">
        <v>80</v>
      </c>
      <c r="B70" s="6" t="s">
        <v>243</v>
      </c>
      <c r="C70" s="6" t="s">
        <v>244</v>
      </c>
      <c r="D70" s="7" t="s">
        <v>185</v>
      </c>
      <c r="E70" s="7">
        <v>10</v>
      </c>
      <c r="F70" s="8">
        <v>1</v>
      </c>
      <c r="G70" s="5">
        <v>3</v>
      </c>
      <c r="H70" s="7">
        <v>2</v>
      </c>
      <c r="I70" s="5">
        <v>2</v>
      </c>
      <c r="J70" s="7">
        <v>5</v>
      </c>
      <c r="K70" s="9">
        <f t="shared" si="14"/>
        <v>5.9</v>
      </c>
      <c r="L70" s="10" t="s">
        <v>84</v>
      </c>
      <c r="M70" s="7">
        <v>2</v>
      </c>
      <c r="N70" s="5">
        <v>0</v>
      </c>
      <c r="O70" s="11">
        <f t="shared" si="15"/>
        <v>0</v>
      </c>
      <c r="P70" s="5" t="s">
        <v>85</v>
      </c>
      <c r="Q70" s="12" t="str">
        <f t="shared" si="16"/>
        <v>Study This Week</v>
      </c>
      <c r="R70" s="13" t="s">
        <v>245</v>
      </c>
      <c r="S70" s="12">
        <f t="shared" si="17"/>
        <v>5.9007000000000005</v>
      </c>
      <c r="T70" s="12">
        <f t="shared" si="18"/>
        <v>11.0007</v>
      </c>
      <c r="U70" s="12">
        <f t="shared" si="19"/>
        <v>4.1006999999999998</v>
      </c>
      <c r="V70" s="12">
        <f t="shared" si="20"/>
        <v>6.9999999999999999E-4</v>
      </c>
    </row>
    <row r="71" spans="1:22" ht="22.05" customHeight="1">
      <c r="A71" s="5" t="s">
        <v>80</v>
      </c>
      <c r="B71" s="6" t="s">
        <v>243</v>
      </c>
      <c r="C71" s="6" t="s">
        <v>246</v>
      </c>
      <c r="D71" s="7" t="s">
        <v>185</v>
      </c>
      <c r="E71" s="7">
        <v>10</v>
      </c>
      <c r="F71" s="8">
        <v>1</v>
      </c>
      <c r="G71" s="5">
        <v>3</v>
      </c>
      <c r="H71" s="7">
        <v>2</v>
      </c>
      <c r="I71" s="5">
        <v>2</v>
      </c>
      <c r="J71" s="7">
        <v>5</v>
      </c>
      <c r="K71" s="9">
        <f t="shared" si="14"/>
        <v>5.9</v>
      </c>
      <c r="L71" s="10" t="s">
        <v>84</v>
      </c>
      <c r="M71" s="7">
        <v>2</v>
      </c>
      <c r="N71" s="5">
        <v>0</v>
      </c>
      <c r="O71" s="11">
        <f t="shared" si="15"/>
        <v>0</v>
      </c>
      <c r="P71" s="5" t="s">
        <v>85</v>
      </c>
      <c r="Q71" s="12" t="str">
        <f t="shared" si="16"/>
        <v>Study This Week</v>
      </c>
      <c r="R71" s="13" t="s">
        <v>247</v>
      </c>
      <c r="S71" s="12">
        <f t="shared" si="17"/>
        <v>5.9007100000000001</v>
      </c>
      <c r="T71" s="12">
        <f t="shared" si="18"/>
        <v>11.00071</v>
      </c>
      <c r="U71" s="12">
        <f t="shared" si="19"/>
        <v>4.1007099999999994</v>
      </c>
      <c r="V71" s="12">
        <f t="shared" si="20"/>
        <v>7.1000000000000002E-4</v>
      </c>
    </row>
    <row r="72" spans="1:22" ht="22.05" customHeight="1">
      <c r="A72" s="5" t="s">
        <v>80</v>
      </c>
      <c r="B72" s="6" t="s">
        <v>243</v>
      </c>
      <c r="C72" s="6" t="s">
        <v>248</v>
      </c>
      <c r="D72" s="7" t="s">
        <v>185</v>
      </c>
      <c r="E72" s="7">
        <v>10</v>
      </c>
      <c r="F72" s="8">
        <v>1</v>
      </c>
      <c r="G72" s="5">
        <v>3</v>
      </c>
      <c r="H72" s="7">
        <v>2</v>
      </c>
      <c r="I72" s="5">
        <v>2</v>
      </c>
      <c r="J72" s="7">
        <v>4</v>
      </c>
      <c r="K72" s="9">
        <f t="shared" si="14"/>
        <v>5.7</v>
      </c>
      <c r="L72" s="10" t="s">
        <v>84</v>
      </c>
      <c r="M72" s="7">
        <v>2</v>
      </c>
      <c r="N72" s="5">
        <v>0</v>
      </c>
      <c r="O72" s="11">
        <f t="shared" si="15"/>
        <v>0</v>
      </c>
      <c r="P72" s="5" t="s">
        <v>85</v>
      </c>
      <c r="Q72" s="12" t="str">
        <f t="shared" si="16"/>
        <v>Study This Week</v>
      </c>
      <c r="R72" s="13" t="s">
        <v>249</v>
      </c>
      <c r="S72" s="12">
        <f t="shared" si="17"/>
        <v>5.7007200000000005</v>
      </c>
      <c r="T72" s="12">
        <f t="shared" si="18"/>
        <v>9.0007199999999994</v>
      </c>
      <c r="U72" s="12">
        <f t="shared" si="19"/>
        <v>4.3007200000000001</v>
      </c>
      <c r="V72" s="12">
        <f t="shared" si="20"/>
        <v>7.2000000000000005E-4</v>
      </c>
    </row>
    <row r="73" spans="1:22" ht="22.05" customHeight="1">
      <c r="A73" s="5" t="s">
        <v>80</v>
      </c>
      <c r="B73" s="6" t="s">
        <v>243</v>
      </c>
      <c r="C73" s="6" t="s">
        <v>250</v>
      </c>
      <c r="D73" s="7" t="s">
        <v>185</v>
      </c>
      <c r="E73" s="7">
        <v>10</v>
      </c>
      <c r="F73" s="8">
        <v>1</v>
      </c>
      <c r="G73" s="5">
        <v>2</v>
      </c>
      <c r="H73" s="7">
        <v>3</v>
      </c>
      <c r="I73" s="5">
        <v>3</v>
      </c>
      <c r="J73" s="7">
        <v>4</v>
      </c>
      <c r="K73" s="9">
        <f t="shared" si="14"/>
        <v>5.9</v>
      </c>
      <c r="L73" s="10" t="s">
        <v>84</v>
      </c>
      <c r="M73" s="7">
        <v>2.5</v>
      </c>
      <c r="N73" s="5">
        <v>0</v>
      </c>
      <c r="O73" s="11">
        <f t="shared" si="15"/>
        <v>0</v>
      </c>
      <c r="P73" s="5" t="s">
        <v>85</v>
      </c>
      <c r="Q73" s="12" t="str">
        <f t="shared" si="16"/>
        <v>Study This Week</v>
      </c>
      <c r="R73" s="13" t="s">
        <v>251</v>
      </c>
      <c r="S73" s="12">
        <f t="shared" si="17"/>
        <v>5.9007300000000003</v>
      </c>
      <c r="T73" s="12">
        <f t="shared" si="18"/>
        <v>7.0007299999999999</v>
      </c>
      <c r="U73" s="12">
        <f t="shared" si="19"/>
        <v>4.1007299999999995</v>
      </c>
      <c r="V73" s="12">
        <f t="shared" si="20"/>
        <v>7.2999999999999996E-4</v>
      </c>
    </row>
    <row r="74" spans="1:22" ht="22.05" customHeight="1">
      <c r="A74" s="5" t="s">
        <v>80</v>
      </c>
      <c r="B74" s="6" t="s">
        <v>243</v>
      </c>
      <c r="C74" s="6" t="s">
        <v>252</v>
      </c>
      <c r="D74" s="7" t="s">
        <v>185</v>
      </c>
      <c r="E74" s="7">
        <v>10</v>
      </c>
      <c r="F74" s="8">
        <v>1</v>
      </c>
      <c r="G74" s="5">
        <v>2</v>
      </c>
      <c r="H74" s="7">
        <v>3</v>
      </c>
      <c r="I74" s="5">
        <v>3</v>
      </c>
      <c r="J74" s="7">
        <v>4</v>
      </c>
      <c r="K74" s="9">
        <f t="shared" si="14"/>
        <v>5.9</v>
      </c>
      <c r="L74" s="10" t="s">
        <v>84</v>
      </c>
      <c r="M74" s="7">
        <v>2.5</v>
      </c>
      <c r="N74" s="5">
        <v>0</v>
      </c>
      <c r="O74" s="11">
        <f t="shared" si="15"/>
        <v>0</v>
      </c>
      <c r="P74" s="5" t="s">
        <v>85</v>
      </c>
      <c r="Q74" s="12" t="str">
        <f t="shared" si="16"/>
        <v>Study This Week</v>
      </c>
      <c r="R74" s="13" t="s">
        <v>253</v>
      </c>
      <c r="S74" s="12">
        <f t="shared" si="17"/>
        <v>5.9007400000000008</v>
      </c>
      <c r="T74" s="12">
        <f t="shared" si="18"/>
        <v>7.0007400000000004</v>
      </c>
      <c r="U74" s="12">
        <f t="shared" si="19"/>
        <v>4.1007400000000001</v>
      </c>
      <c r="V74" s="12">
        <f t="shared" si="20"/>
        <v>7.3999999999999999E-4</v>
      </c>
    </row>
    <row r="75" spans="1:22" ht="22.05" customHeight="1">
      <c r="A75" s="5" t="s">
        <v>80</v>
      </c>
      <c r="B75" s="6" t="s">
        <v>243</v>
      </c>
      <c r="C75" s="6" t="s">
        <v>254</v>
      </c>
      <c r="D75" s="7" t="s">
        <v>185</v>
      </c>
      <c r="E75" s="7">
        <v>10</v>
      </c>
      <c r="F75" s="8">
        <v>1</v>
      </c>
      <c r="G75" s="5">
        <v>2</v>
      </c>
      <c r="H75" s="7">
        <v>3</v>
      </c>
      <c r="I75" s="5">
        <v>3</v>
      </c>
      <c r="J75" s="7">
        <v>3</v>
      </c>
      <c r="K75" s="9">
        <f t="shared" si="14"/>
        <v>5.7</v>
      </c>
      <c r="L75" s="10" t="s">
        <v>84</v>
      </c>
      <c r="M75" s="7">
        <v>2</v>
      </c>
      <c r="N75" s="5">
        <v>0</v>
      </c>
      <c r="O75" s="11">
        <f t="shared" si="15"/>
        <v>0</v>
      </c>
      <c r="P75" s="5" t="s">
        <v>85</v>
      </c>
      <c r="Q75" s="12" t="str">
        <f t="shared" si="16"/>
        <v>Study This Week</v>
      </c>
      <c r="R75" s="13" t="s">
        <v>255</v>
      </c>
      <c r="S75" s="12">
        <f t="shared" si="17"/>
        <v>5.7007500000000002</v>
      </c>
      <c r="T75" s="12">
        <f t="shared" si="18"/>
        <v>5.00075</v>
      </c>
      <c r="U75" s="12">
        <f t="shared" si="19"/>
        <v>4.3007499999999999</v>
      </c>
      <c r="V75" s="12">
        <f t="shared" si="20"/>
        <v>7.5000000000000002E-4</v>
      </c>
    </row>
    <row r="76" spans="1:22" ht="22.05" customHeight="1">
      <c r="A76" s="5" t="s">
        <v>80</v>
      </c>
      <c r="B76" s="6" t="s">
        <v>243</v>
      </c>
      <c r="C76" s="6" t="s">
        <v>256</v>
      </c>
      <c r="D76" s="7" t="s">
        <v>185</v>
      </c>
      <c r="E76" s="7">
        <v>10</v>
      </c>
      <c r="F76" s="8">
        <v>1</v>
      </c>
      <c r="G76" s="5">
        <v>2</v>
      </c>
      <c r="H76" s="7">
        <v>2</v>
      </c>
      <c r="I76" s="5">
        <v>3</v>
      </c>
      <c r="J76" s="7">
        <v>2</v>
      </c>
      <c r="K76" s="9">
        <f t="shared" si="14"/>
        <v>5.5</v>
      </c>
      <c r="L76" s="10" t="s">
        <v>91</v>
      </c>
      <c r="M76" s="7">
        <v>1</v>
      </c>
      <c r="N76" s="5">
        <v>0</v>
      </c>
      <c r="O76" s="11">
        <f t="shared" si="15"/>
        <v>0</v>
      </c>
      <c r="P76" s="5" t="s">
        <v>85</v>
      </c>
      <c r="Q76" s="12" t="str">
        <f t="shared" si="16"/>
        <v>Study This Week</v>
      </c>
      <c r="R76" s="13" t="s">
        <v>257</v>
      </c>
      <c r="S76" s="12">
        <f t="shared" si="17"/>
        <v>5.5007599999999996</v>
      </c>
      <c r="T76" s="12">
        <f t="shared" si="18"/>
        <v>4.0007599999999996</v>
      </c>
      <c r="U76" s="12">
        <f t="shared" si="19"/>
        <v>4.5007599999999996</v>
      </c>
      <c r="V76" s="12">
        <f t="shared" si="20"/>
        <v>7.6000000000000004E-4</v>
      </c>
    </row>
    <row r="77" spans="1:22" ht="22.05" customHeight="1">
      <c r="A77" s="5" t="s">
        <v>80</v>
      </c>
      <c r="B77" s="6" t="s">
        <v>243</v>
      </c>
      <c r="C77" s="6" t="s">
        <v>258</v>
      </c>
      <c r="D77" s="7" t="s">
        <v>185</v>
      </c>
      <c r="E77" s="7">
        <v>10</v>
      </c>
      <c r="F77" s="8">
        <v>1</v>
      </c>
      <c r="G77" s="5">
        <v>2</v>
      </c>
      <c r="H77" s="7">
        <v>4</v>
      </c>
      <c r="I77" s="5">
        <v>3</v>
      </c>
      <c r="J77" s="7">
        <v>3</v>
      </c>
      <c r="K77" s="9">
        <f t="shared" si="14"/>
        <v>5.7</v>
      </c>
      <c r="L77" s="10" t="s">
        <v>84</v>
      </c>
      <c r="M77" s="7">
        <v>2.5</v>
      </c>
      <c r="N77" s="5">
        <v>0</v>
      </c>
      <c r="O77" s="11">
        <f t="shared" si="15"/>
        <v>0</v>
      </c>
      <c r="P77" s="5" t="s">
        <v>85</v>
      </c>
      <c r="Q77" s="12" t="str">
        <f t="shared" si="16"/>
        <v>Study This Week</v>
      </c>
      <c r="R77" s="13" t="s">
        <v>259</v>
      </c>
      <c r="S77" s="12">
        <f t="shared" si="17"/>
        <v>5.7007700000000003</v>
      </c>
      <c r="T77" s="12">
        <f t="shared" si="18"/>
        <v>4.0007700000000002</v>
      </c>
      <c r="U77" s="12">
        <f t="shared" si="19"/>
        <v>4.30077</v>
      </c>
      <c r="V77" s="12">
        <f t="shared" si="20"/>
        <v>7.6999999999999996E-4</v>
      </c>
    </row>
    <row r="78" spans="1:22" ht="22.05" customHeight="1">
      <c r="A78" s="5" t="s">
        <v>80</v>
      </c>
      <c r="B78" s="6" t="s">
        <v>243</v>
      </c>
      <c r="C78" s="6" t="s">
        <v>260</v>
      </c>
      <c r="D78" s="7" t="s">
        <v>185</v>
      </c>
      <c r="E78" s="7">
        <v>10</v>
      </c>
      <c r="F78" s="8">
        <v>1</v>
      </c>
      <c r="G78" s="5">
        <v>2</v>
      </c>
      <c r="H78" s="7">
        <v>3</v>
      </c>
      <c r="I78" s="5">
        <v>3</v>
      </c>
      <c r="J78" s="7">
        <v>3</v>
      </c>
      <c r="K78" s="9">
        <f t="shared" si="14"/>
        <v>5.7</v>
      </c>
      <c r="L78" s="10" t="s">
        <v>84</v>
      </c>
      <c r="M78" s="7">
        <v>1.5</v>
      </c>
      <c r="N78" s="5">
        <v>0</v>
      </c>
      <c r="O78" s="11">
        <f t="shared" si="15"/>
        <v>0</v>
      </c>
      <c r="P78" s="5" t="s">
        <v>85</v>
      </c>
      <c r="Q78" s="12" t="str">
        <f t="shared" si="16"/>
        <v>Study This Week</v>
      </c>
      <c r="R78" s="13" t="s">
        <v>261</v>
      </c>
      <c r="S78" s="12">
        <f t="shared" si="17"/>
        <v>5.70078</v>
      </c>
      <c r="T78" s="12">
        <f t="shared" si="18"/>
        <v>5.0007799999999998</v>
      </c>
      <c r="U78" s="12">
        <f t="shared" si="19"/>
        <v>4.3007799999999996</v>
      </c>
      <c r="V78" s="12">
        <f t="shared" si="20"/>
        <v>7.7999999999999999E-4</v>
      </c>
    </row>
    <row r="79" spans="1:22" ht="22.05" customHeight="1">
      <c r="A79" s="5" t="s">
        <v>80</v>
      </c>
      <c r="B79" s="6" t="s">
        <v>262</v>
      </c>
      <c r="C79" s="6" t="s">
        <v>263</v>
      </c>
      <c r="D79" s="7" t="s">
        <v>121</v>
      </c>
      <c r="E79" s="7">
        <v>7</v>
      </c>
      <c r="F79" s="14">
        <v>2</v>
      </c>
      <c r="G79" s="5">
        <v>2</v>
      </c>
      <c r="H79" s="7">
        <v>3</v>
      </c>
      <c r="I79" s="5">
        <v>3</v>
      </c>
      <c r="J79" s="7">
        <v>3</v>
      </c>
      <c r="K79" s="9">
        <f t="shared" si="14"/>
        <v>4.3499999999999996</v>
      </c>
      <c r="L79" s="10" t="s">
        <v>84</v>
      </c>
      <c r="M79" s="7">
        <v>2</v>
      </c>
      <c r="N79" s="5">
        <v>0</v>
      </c>
      <c r="O79" s="11">
        <f t="shared" si="15"/>
        <v>0</v>
      </c>
      <c r="P79" s="5" t="s">
        <v>85</v>
      </c>
      <c r="Q79" s="12" t="str">
        <f t="shared" si="16"/>
        <v>Practice</v>
      </c>
      <c r="R79" s="13" t="s">
        <v>264</v>
      </c>
      <c r="S79" s="12">
        <f t="shared" si="17"/>
        <v>4.3507899999999999</v>
      </c>
      <c r="T79" s="12">
        <f t="shared" si="18"/>
        <v>5.0007900000000003</v>
      </c>
      <c r="U79" s="12">
        <f t="shared" si="19"/>
        <v>5.6507900000000006</v>
      </c>
      <c r="V79" s="12">
        <f t="shared" si="20"/>
        <v>3.70079</v>
      </c>
    </row>
    <row r="80" spans="1:22" ht="22.05" customHeight="1">
      <c r="A80" s="5" t="s">
        <v>80</v>
      </c>
      <c r="B80" s="6" t="s">
        <v>262</v>
      </c>
      <c r="C80" s="6" t="s">
        <v>265</v>
      </c>
      <c r="D80" s="7" t="s">
        <v>121</v>
      </c>
      <c r="E80" s="7">
        <v>7</v>
      </c>
      <c r="F80" s="14">
        <v>2</v>
      </c>
      <c r="G80" s="5">
        <v>3</v>
      </c>
      <c r="H80" s="7">
        <v>2</v>
      </c>
      <c r="I80" s="5">
        <v>2</v>
      </c>
      <c r="J80" s="7">
        <v>4</v>
      </c>
      <c r="K80" s="9">
        <f t="shared" si="14"/>
        <v>4.3499999999999996</v>
      </c>
      <c r="L80" s="10" t="s">
        <v>84</v>
      </c>
      <c r="M80" s="7">
        <v>2</v>
      </c>
      <c r="N80" s="5">
        <v>0</v>
      </c>
      <c r="O80" s="11">
        <f t="shared" si="15"/>
        <v>0</v>
      </c>
      <c r="P80" s="5" t="s">
        <v>85</v>
      </c>
      <c r="Q80" s="12" t="str">
        <f t="shared" si="16"/>
        <v>Practice</v>
      </c>
      <c r="R80" s="13" t="s">
        <v>266</v>
      </c>
      <c r="S80" s="12">
        <f t="shared" si="17"/>
        <v>4.3507999999999996</v>
      </c>
      <c r="T80" s="12">
        <f t="shared" si="18"/>
        <v>9.0007999999999999</v>
      </c>
      <c r="U80" s="12">
        <f t="shared" si="19"/>
        <v>5.6508000000000003</v>
      </c>
      <c r="V80" s="12">
        <f t="shared" si="20"/>
        <v>5.4008000000000003</v>
      </c>
    </row>
    <row r="81" spans="1:22" ht="22.05" customHeight="1">
      <c r="A81" s="5" t="s">
        <v>80</v>
      </c>
      <c r="B81" s="6" t="s">
        <v>262</v>
      </c>
      <c r="C81" s="6" t="s">
        <v>267</v>
      </c>
      <c r="D81" s="7" t="s">
        <v>121</v>
      </c>
      <c r="E81" s="7">
        <v>7</v>
      </c>
      <c r="F81" s="14">
        <v>2</v>
      </c>
      <c r="G81" s="5">
        <v>2</v>
      </c>
      <c r="H81" s="7">
        <v>3</v>
      </c>
      <c r="I81" s="5">
        <v>3</v>
      </c>
      <c r="J81" s="7">
        <v>3</v>
      </c>
      <c r="K81" s="9">
        <f t="shared" si="14"/>
        <v>4.3499999999999996</v>
      </c>
      <c r="L81" s="10" t="s">
        <v>91</v>
      </c>
      <c r="M81" s="7">
        <v>1.5</v>
      </c>
      <c r="N81" s="5">
        <v>0</v>
      </c>
      <c r="O81" s="11">
        <f t="shared" si="15"/>
        <v>0</v>
      </c>
      <c r="P81" s="5" t="s">
        <v>85</v>
      </c>
      <c r="Q81" s="12" t="str">
        <f t="shared" si="16"/>
        <v>Practice</v>
      </c>
      <c r="R81" s="13" t="s">
        <v>268</v>
      </c>
      <c r="S81" s="12">
        <f t="shared" si="17"/>
        <v>4.3508100000000001</v>
      </c>
      <c r="T81" s="12">
        <f t="shared" si="18"/>
        <v>5.0008100000000004</v>
      </c>
      <c r="U81" s="12">
        <f t="shared" si="19"/>
        <v>5.6508100000000008</v>
      </c>
      <c r="V81" s="12">
        <f t="shared" si="20"/>
        <v>3.7008100000000002</v>
      </c>
    </row>
    <row r="82" spans="1:22" ht="22.05" customHeight="1">
      <c r="A82" s="5" t="s">
        <v>80</v>
      </c>
      <c r="B82" s="6" t="s">
        <v>269</v>
      </c>
      <c r="C82" s="6" t="s">
        <v>270</v>
      </c>
      <c r="D82" s="7" t="s">
        <v>104</v>
      </c>
      <c r="E82" s="7">
        <v>5</v>
      </c>
      <c r="F82" s="14">
        <v>2</v>
      </c>
      <c r="G82" s="5">
        <v>3</v>
      </c>
      <c r="H82" s="7">
        <v>2</v>
      </c>
      <c r="I82" s="5">
        <v>2</v>
      </c>
      <c r="J82" s="7">
        <v>4</v>
      </c>
      <c r="K82" s="9">
        <f t="shared" si="14"/>
        <v>3.65</v>
      </c>
      <c r="L82" s="10" t="s">
        <v>84</v>
      </c>
      <c r="M82" s="7">
        <v>1.5</v>
      </c>
      <c r="N82" s="5">
        <v>0</v>
      </c>
      <c r="O82" s="11">
        <f t="shared" si="15"/>
        <v>0</v>
      </c>
      <c r="P82" s="5" t="s">
        <v>85</v>
      </c>
      <c r="Q82" s="12" t="str">
        <f t="shared" si="16"/>
        <v>Practice</v>
      </c>
      <c r="R82" s="13" t="s">
        <v>271</v>
      </c>
      <c r="S82" s="12">
        <f t="shared" si="17"/>
        <v>3.65082</v>
      </c>
      <c r="T82" s="12">
        <f t="shared" si="18"/>
        <v>9.0008199999999992</v>
      </c>
      <c r="U82" s="12">
        <f t="shared" si="19"/>
        <v>6.3508199999999997</v>
      </c>
      <c r="V82" s="12">
        <f t="shared" si="20"/>
        <v>5.4008200000000004</v>
      </c>
    </row>
    <row r="83" spans="1:22" ht="22.05" customHeight="1">
      <c r="A83" s="5" t="s">
        <v>80</v>
      </c>
      <c r="B83" s="6" t="s">
        <v>269</v>
      </c>
      <c r="C83" s="6" t="s">
        <v>272</v>
      </c>
      <c r="D83" s="7" t="s">
        <v>104</v>
      </c>
      <c r="E83" s="7">
        <v>5</v>
      </c>
      <c r="F83" s="14">
        <v>2</v>
      </c>
      <c r="G83" s="5">
        <v>3</v>
      </c>
      <c r="H83" s="7">
        <v>2</v>
      </c>
      <c r="I83" s="5">
        <v>2</v>
      </c>
      <c r="J83" s="7">
        <v>4</v>
      </c>
      <c r="K83" s="9">
        <f t="shared" si="14"/>
        <v>3.65</v>
      </c>
      <c r="L83" s="10" t="s">
        <v>84</v>
      </c>
      <c r="M83" s="7">
        <v>1.5</v>
      </c>
      <c r="N83" s="5">
        <v>0</v>
      </c>
      <c r="O83" s="11">
        <f t="shared" si="15"/>
        <v>0</v>
      </c>
      <c r="P83" s="5" t="s">
        <v>85</v>
      </c>
      <c r="Q83" s="12" t="str">
        <f t="shared" si="16"/>
        <v>Practice</v>
      </c>
      <c r="R83" s="13" t="s">
        <v>273</v>
      </c>
      <c r="S83" s="12">
        <f t="shared" si="17"/>
        <v>3.65083</v>
      </c>
      <c r="T83" s="12">
        <f t="shared" si="18"/>
        <v>9.0008300000000006</v>
      </c>
      <c r="U83" s="12">
        <f t="shared" si="19"/>
        <v>6.3508299999999993</v>
      </c>
      <c r="V83" s="12">
        <f t="shared" si="20"/>
        <v>5.40083</v>
      </c>
    </row>
    <row r="84" spans="1:22" ht="22.05" customHeight="1">
      <c r="A84" s="5" t="s">
        <v>80</v>
      </c>
      <c r="B84" s="6" t="s">
        <v>269</v>
      </c>
      <c r="C84" s="6" t="s">
        <v>274</v>
      </c>
      <c r="D84" s="7" t="s">
        <v>104</v>
      </c>
      <c r="E84" s="7">
        <v>5</v>
      </c>
      <c r="F84" s="14">
        <v>2</v>
      </c>
      <c r="G84" s="5">
        <v>3</v>
      </c>
      <c r="H84" s="7">
        <v>2</v>
      </c>
      <c r="I84" s="5">
        <v>2</v>
      </c>
      <c r="J84" s="7">
        <v>3</v>
      </c>
      <c r="K84" s="9">
        <f t="shared" si="14"/>
        <v>3.45</v>
      </c>
      <c r="L84" s="10" t="s">
        <v>91</v>
      </c>
      <c r="M84" s="7">
        <v>1</v>
      </c>
      <c r="N84" s="5">
        <v>0</v>
      </c>
      <c r="O84" s="11">
        <f t="shared" si="15"/>
        <v>0</v>
      </c>
      <c r="P84" s="5" t="s">
        <v>85</v>
      </c>
      <c r="Q84" s="12" t="str">
        <f t="shared" si="16"/>
        <v>Practice</v>
      </c>
      <c r="R84" s="13" t="s">
        <v>275</v>
      </c>
      <c r="S84" s="12">
        <f t="shared" si="17"/>
        <v>3.4508400000000004</v>
      </c>
      <c r="T84" s="12">
        <f t="shared" si="18"/>
        <v>7.0008400000000002</v>
      </c>
      <c r="U84" s="12">
        <f t="shared" si="19"/>
        <v>6.55084</v>
      </c>
      <c r="V84" s="12">
        <f t="shared" si="20"/>
        <v>4.4008400000000005</v>
      </c>
    </row>
    <row r="85" spans="1:22" ht="22.05" customHeight="1">
      <c r="A85" s="5" t="s">
        <v>80</v>
      </c>
      <c r="B85" s="6" t="s">
        <v>269</v>
      </c>
      <c r="C85" s="6" t="s">
        <v>276</v>
      </c>
      <c r="D85" s="7" t="s">
        <v>104</v>
      </c>
      <c r="E85" s="7">
        <v>5</v>
      </c>
      <c r="F85" s="14">
        <v>2</v>
      </c>
      <c r="G85" s="5">
        <v>2</v>
      </c>
      <c r="H85" s="7">
        <v>3</v>
      </c>
      <c r="I85" s="5">
        <v>3</v>
      </c>
      <c r="J85" s="7">
        <v>2</v>
      </c>
      <c r="K85" s="9">
        <f t="shared" si="14"/>
        <v>3.45</v>
      </c>
      <c r="L85" s="10" t="s">
        <v>91</v>
      </c>
      <c r="M85" s="7">
        <v>1.5</v>
      </c>
      <c r="N85" s="5">
        <v>0</v>
      </c>
      <c r="O85" s="11">
        <f t="shared" si="15"/>
        <v>0</v>
      </c>
      <c r="P85" s="5" t="s">
        <v>85</v>
      </c>
      <c r="Q85" s="12" t="str">
        <f t="shared" si="16"/>
        <v>Practice</v>
      </c>
      <c r="R85" s="13" t="s">
        <v>277</v>
      </c>
      <c r="S85" s="12">
        <f t="shared" si="17"/>
        <v>3.45085</v>
      </c>
      <c r="T85" s="12">
        <f t="shared" si="18"/>
        <v>3.0008499999999998</v>
      </c>
      <c r="U85" s="12">
        <f t="shared" si="19"/>
        <v>6.5508499999999996</v>
      </c>
      <c r="V85" s="12">
        <f t="shared" si="20"/>
        <v>2.70085</v>
      </c>
    </row>
    <row r="86" spans="1:22" ht="22.05" customHeight="1">
      <c r="A86" s="5" t="s">
        <v>80</v>
      </c>
      <c r="B86" s="6" t="s">
        <v>269</v>
      </c>
      <c r="C86" s="6" t="s">
        <v>278</v>
      </c>
      <c r="D86" s="7" t="s">
        <v>104</v>
      </c>
      <c r="E86" s="7">
        <v>5</v>
      </c>
      <c r="F86" s="14">
        <v>2</v>
      </c>
      <c r="G86" s="5">
        <v>3</v>
      </c>
      <c r="H86" s="7">
        <v>2</v>
      </c>
      <c r="I86" s="5">
        <v>3</v>
      </c>
      <c r="J86" s="7">
        <v>3</v>
      </c>
      <c r="K86" s="9">
        <f t="shared" si="14"/>
        <v>3.4</v>
      </c>
      <c r="L86" s="10" t="s">
        <v>91</v>
      </c>
      <c r="M86" s="7">
        <v>1</v>
      </c>
      <c r="N86" s="5">
        <v>0</v>
      </c>
      <c r="O86" s="11">
        <f t="shared" si="15"/>
        <v>0</v>
      </c>
      <c r="P86" s="5" t="s">
        <v>85</v>
      </c>
      <c r="Q86" s="12" t="str">
        <f t="shared" si="16"/>
        <v>Practice</v>
      </c>
      <c r="R86" s="13" t="s">
        <v>279</v>
      </c>
      <c r="S86" s="12">
        <f t="shared" si="17"/>
        <v>3.4008599999999998</v>
      </c>
      <c r="T86" s="12">
        <f t="shared" si="18"/>
        <v>6.0008600000000003</v>
      </c>
      <c r="U86" s="12">
        <f t="shared" si="19"/>
        <v>6.6008599999999999</v>
      </c>
      <c r="V86" s="12">
        <f t="shared" si="20"/>
        <v>3.9008599999999998</v>
      </c>
    </row>
  </sheetData>
  <autoFilter ref="A1:R86" xr:uid="{00000000-0009-0000-0000-000001000000}"/>
  <conditionalFormatting sqref="K2:K86">
    <cfRule type="colorScale" priority="1">
      <colorScale>
        <cfvo type="num" val="0"/>
        <cfvo type="num" val="4"/>
        <cfvo type="num" val="7"/>
        <color rgb="FFF8CBAD"/>
        <color rgb="FFFFE699"/>
        <color rgb="FFC6E0B4"/>
      </colorScale>
    </cfRule>
  </conditionalFormatting>
  <conditionalFormatting sqref="G2:G86">
    <cfRule type="colorScale" priority="2">
      <colorScale>
        <cfvo type="num" val="1"/>
        <cfvo type="num" val="3"/>
        <cfvo type="num" val="5"/>
        <color rgb="FFF8CBAD"/>
        <color rgb="FFFFE699"/>
        <color rgb="FFC6E0B4"/>
      </colorScale>
    </cfRule>
  </conditionalFormatting>
  <conditionalFormatting sqref="O2:O86">
    <cfRule type="colorScale" priority="3">
      <colorScale>
        <cfvo type="num" val="0"/>
        <cfvo type="num" val="0.5"/>
        <cfvo type="num" val="1"/>
        <color rgb="FFF8CBAD"/>
        <color rgb="FFFFE699"/>
        <color rgb="FFC6E0B4"/>
      </colorScale>
    </cfRule>
  </conditionalFormatting>
  <conditionalFormatting sqref="P2:P86">
    <cfRule type="expression" dxfId="14" priority="4">
      <formula>$P2="Exam Ready"</formula>
    </cfRule>
    <cfRule type="expression" dxfId="13" priority="5">
      <formula>$P2="Strong"</formula>
    </cfRule>
    <cfRule type="expression" dxfId="12" priority="6">
      <formula>$P2="Improving"</formula>
    </cfRule>
    <cfRule type="expression" dxfId="11" priority="7">
      <formula>$P2="Practicing"</formula>
    </cfRule>
    <cfRule type="expression" dxfId="10" priority="8">
      <formula>$P2="Skipped"</formula>
    </cfRule>
  </conditionalFormatting>
  <conditionalFormatting sqref="A2:R86">
    <cfRule type="expression" dxfId="9" priority="9">
      <formula>$A2="No"</formula>
    </cfRule>
    <cfRule type="expression" dxfId="8" priority="10">
      <formula>AND($K2&gt;=5,$G2&lt;=2,$A2="Yes")</formula>
    </cfRule>
  </conditionalFormatting>
  <dataValidations count="4">
    <dataValidation type="list" sqref="A2:A86" xr:uid="{00000000-0002-0000-0100-000000000000}">
      <formula1>"Yes,No,Later"</formula1>
    </dataValidation>
    <dataValidation type="list" sqref="G2:J86" xr:uid="{00000000-0002-0000-0100-000001000000}">
      <formula1>"1,2,3,4,5"</formula1>
    </dataValidation>
    <dataValidation type="list" sqref="L2:L86" xr:uid="{00000000-0002-0000-0100-000002000000}">
      <formula1>"Deep Study,Standard Study,Fast Review,Light Review,Skip Unless Time"</formula1>
    </dataValidation>
    <dataValidation type="list" sqref="P2:P86" xr:uid="{00000000-0002-0000-0100-000003000000}">
      <formula1>"Not Started,Learning,Practicing,Improving,Strong,Exam Ready,Skipped"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>
      <pane ySplit="5" topLeftCell="A6" activePane="bottomLeft" state="frozen"/>
      <selection pane="bottomLeft" activeCell="L7" sqref="L7"/>
    </sheetView>
  </sheetViews>
  <sheetFormatPr defaultRowHeight="14.4"/>
  <cols>
    <col min="1" max="1" width="13" customWidth="1"/>
    <col min="2" max="2" width="11" customWidth="1"/>
    <col min="3" max="3" width="13" customWidth="1"/>
    <col min="4" max="4" width="10" customWidth="1"/>
    <col min="5" max="5" width="26" customWidth="1"/>
    <col min="6" max="6" width="50" customWidth="1"/>
    <col min="7" max="7" width="11" customWidth="1"/>
    <col min="8" max="8" width="9" customWidth="1"/>
    <col min="9" max="9" width="11" customWidth="1"/>
    <col min="10" max="10" width="28" customWidth="1"/>
  </cols>
  <sheetData>
    <row r="1" spans="1:10" ht="36" customHeight="1">
      <c r="A1" s="53" t="s">
        <v>280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2.05" customHeight="1">
      <c r="A2" s="34" t="s">
        <v>281</v>
      </c>
      <c r="B2" s="35"/>
      <c r="C2" s="35"/>
      <c r="D2" s="35"/>
      <c r="E2" s="35"/>
      <c r="F2" s="35"/>
      <c r="G2" s="35"/>
      <c r="H2" s="35"/>
      <c r="I2" s="35"/>
      <c r="J2" s="35"/>
    </row>
    <row r="4" spans="1:10" ht="22.05" customHeight="1">
      <c r="A4" s="41" t="s">
        <v>282</v>
      </c>
      <c r="B4" s="42"/>
      <c r="C4" s="42"/>
      <c r="D4" s="42"/>
      <c r="E4" s="42"/>
      <c r="F4" s="42"/>
      <c r="G4" s="42"/>
      <c r="H4" s="42"/>
      <c r="I4" s="42"/>
      <c r="J4" s="43"/>
    </row>
    <row r="5" spans="1:10" ht="24" customHeight="1">
      <c r="A5" s="1" t="s">
        <v>283</v>
      </c>
      <c r="B5" s="1" t="s">
        <v>23</v>
      </c>
      <c r="C5" s="1" t="s">
        <v>26</v>
      </c>
      <c r="D5" s="1" t="s">
        <v>284</v>
      </c>
      <c r="E5" s="1" t="s">
        <v>27</v>
      </c>
      <c r="F5" s="1" t="s">
        <v>28</v>
      </c>
      <c r="G5" s="1" t="s">
        <v>285</v>
      </c>
      <c r="H5" s="1" t="s">
        <v>286</v>
      </c>
      <c r="I5" s="1" t="s">
        <v>287</v>
      </c>
      <c r="J5" s="1" t="s">
        <v>79</v>
      </c>
    </row>
    <row r="6" spans="1:10" ht="36" customHeight="1">
      <c r="A6" s="16">
        <f ca="1">_PlanEngine!B2</f>
        <v>46159</v>
      </c>
      <c r="B6" s="17" t="str">
        <f>_PlanEngine!C2</f>
        <v>Sunday</v>
      </c>
      <c r="C6" s="12" t="str">
        <f>_PlanEngine!D2</f>
        <v>Normal</v>
      </c>
      <c r="D6" s="12">
        <f>_PlanEngine!E2</f>
        <v>30</v>
      </c>
      <c r="E6" s="18" t="str">
        <f>_PlanEngine!K2</f>
        <v>6.4 Waveform Analysis</v>
      </c>
      <c r="F6" s="18" t="str">
        <f>_PlanEngine!O2</f>
        <v>Study the core concept, then solve 2-4 examples. Topic: 6.4 Waveform Analysis</v>
      </c>
      <c r="G6" s="12">
        <f>_PlanEngine!N2</f>
        <v>30</v>
      </c>
      <c r="H6" s="5" t="s">
        <v>288</v>
      </c>
      <c r="I6" s="5">
        <v>0</v>
      </c>
      <c r="J6" s="13"/>
    </row>
    <row r="7" spans="1:10" ht="36" customHeight="1">
      <c r="A7" s="16">
        <f ca="1">_PlanEngine!B3</f>
        <v>46160</v>
      </c>
      <c r="B7" s="17" t="str">
        <f>_PlanEngine!C3</f>
        <v>Monday</v>
      </c>
      <c r="C7" s="12" t="str">
        <f>_PlanEngine!D3</f>
        <v>Normal</v>
      </c>
      <c r="D7" s="12">
        <f>_PlanEngine!E3</f>
        <v>35</v>
      </c>
      <c r="E7" s="18" t="str">
        <f>_PlanEngine!K3</f>
        <v>6.6 Impedance</v>
      </c>
      <c r="F7" s="18" t="str">
        <f>_PlanEngine!O3</f>
        <v>Review formulas, then practice short FE-style problems. Topic: 6.6 Impedance</v>
      </c>
      <c r="G7" s="12">
        <f>_PlanEngine!N3</f>
        <v>35</v>
      </c>
      <c r="H7" s="5" t="s">
        <v>288</v>
      </c>
      <c r="I7" s="5">
        <v>0</v>
      </c>
      <c r="J7" s="13"/>
    </row>
    <row r="8" spans="1:10" ht="36" customHeight="1">
      <c r="A8" s="16">
        <f ca="1">_PlanEngine!B4</f>
        <v>46161</v>
      </c>
      <c r="B8" s="17" t="str">
        <f>_PlanEngine!C4</f>
        <v>Tuesday</v>
      </c>
      <c r="C8" s="12" t="str">
        <f>_PlanEngine!D4</f>
        <v>Normal</v>
      </c>
      <c r="D8" s="12">
        <f>_PlanEngine!E4</f>
        <v>30</v>
      </c>
      <c r="E8" s="18" t="str">
        <f>_PlanEngine!K4</f>
        <v>6.5 Phasors</v>
      </c>
      <c r="F8" s="18" t="str">
        <f>_PlanEngine!O4</f>
        <v>Focus on common mistakes and update confidence. Topic: 6.5 Phasors</v>
      </c>
      <c r="G8" s="12">
        <f>_PlanEngine!N4</f>
        <v>30</v>
      </c>
      <c r="H8" s="5" t="s">
        <v>288</v>
      </c>
      <c r="I8" s="5">
        <v>0</v>
      </c>
      <c r="J8" s="13"/>
    </row>
    <row r="9" spans="1:10" ht="36" customHeight="1">
      <c r="A9" s="16">
        <f ca="1">_PlanEngine!B5</f>
        <v>46162</v>
      </c>
      <c r="B9" s="17" t="str">
        <f>_PlanEngine!C5</f>
        <v>Wednesday</v>
      </c>
      <c r="C9" s="12" t="str">
        <f>_PlanEngine!D5</f>
        <v>Normal</v>
      </c>
      <c r="D9" s="12">
        <f>_PlanEngine!E5</f>
        <v>35</v>
      </c>
      <c r="E9" s="18" t="str">
        <f>_PlanEngine!K5</f>
        <v>6.3 Thevenin and Norton Theorems</v>
      </c>
      <c r="F9" s="18" t="str">
        <f>_PlanEngine!O5</f>
        <v>Study the core concept, then solve 2-4 examples. Topic: 6.3 Thevenin and Norton Theorems</v>
      </c>
      <c r="G9" s="12">
        <f>_PlanEngine!N5</f>
        <v>35</v>
      </c>
      <c r="H9" s="5" t="s">
        <v>288</v>
      </c>
      <c r="I9" s="5">
        <v>0</v>
      </c>
      <c r="J9" s="13"/>
    </row>
    <row r="10" spans="1:10" ht="36" customHeight="1">
      <c r="A10" s="16">
        <f ca="1">_PlanEngine!B6</f>
        <v>46163</v>
      </c>
      <c r="B10" s="17" t="str">
        <f>_PlanEngine!C6</f>
        <v>Thursday</v>
      </c>
      <c r="C10" s="12" t="str">
        <f>_PlanEngine!D6</f>
        <v>Low Energy</v>
      </c>
      <c r="D10" s="12">
        <f>_PlanEngine!E6</f>
        <v>25</v>
      </c>
      <c r="E10" s="18" t="str">
        <f>_PlanEngine!K6</f>
        <v/>
      </c>
      <c r="F10" s="18" t="str">
        <f>_PlanEngine!O6</f>
        <v>FE Handbook formula lookup - 10-15 min</v>
      </c>
      <c r="G10" s="12">
        <f>_PlanEngine!N6</f>
        <v>20</v>
      </c>
      <c r="H10" s="5" t="s">
        <v>288</v>
      </c>
      <c r="I10" s="5">
        <v>0</v>
      </c>
      <c r="J10" s="13"/>
    </row>
    <row r="11" spans="1:10" ht="36" customHeight="1">
      <c r="A11" s="16">
        <f ca="1">_PlanEngine!B7</f>
        <v>46164</v>
      </c>
      <c r="B11" s="17" t="str">
        <f>_PlanEngine!C7</f>
        <v>Friday</v>
      </c>
      <c r="C11" s="12" t="str">
        <f>_PlanEngine!D7</f>
        <v>Family</v>
      </c>
      <c r="D11" s="12">
        <f>_PlanEngine!E7</f>
        <v>30</v>
      </c>
      <c r="E11" s="18" t="str">
        <f>_PlanEngine!K7</f>
        <v>13.1 Communication Theory</v>
      </c>
      <c r="F11" s="18" t="str">
        <f>_PlanEngine!O7</f>
        <v>Light review of 13.1 Communication Theory. No heavy problem solving.</v>
      </c>
      <c r="G11" s="12">
        <f>_PlanEngine!N7</f>
        <v>30</v>
      </c>
      <c r="H11" s="5" t="s">
        <v>288</v>
      </c>
      <c r="I11" s="5">
        <v>0</v>
      </c>
      <c r="J11" s="13"/>
    </row>
    <row r="12" spans="1:10" ht="36" customHeight="1">
      <c r="A12" s="16">
        <f ca="1">_PlanEngine!B8</f>
        <v>46165</v>
      </c>
      <c r="B12" s="17" t="str">
        <f>_PlanEngine!C8</f>
        <v>Saturday</v>
      </c>
      <c r="C12" s="12" t="str">
        <f>_PlanEngine!D8</f>
        <v>Family</v>
      </c>
      <c r="D12" s="12">
        <f>_PlanEngine!E8</f>
        <v>45</v>
      </c>
      <c r="E12" s="18" t="str">
        <f>_PlanEngine!K8</f>
        <v>8.1 Sampling</v>
      </c>
      <c r="F12" s="18" t="str">
        <f>_PlanEngine!O8</f>
        <v>Light review of 8.1 Sampling. No heavy problem solving.</v>
      </c>
      <c r="G12" s="12">
        <f>_PlanEngine!N8</f>
        <v>45</v>
      </c>
      <c r="H12" s="5" t="s">
        <v>288</v>
      </c>
      <c r="I12" s="5">
        <v>0</v>
      </c>
      <c r="J12" s="13"/>
    </row>
    <row r="13" spans="1:10">
      <c r="D13" s="19" t="s">
        <v>289</v>
      </c>
      <c r="G13" s="20">
        <f>SUM(G6:G12)</f>
        <v>225</v>
      </c>
      <c r="H13" s="20" t="str">
        <f>COUNTIF(H6:H12,"Yes")&amp;" / 7"</f>
        <v>0 / 7</v>
      </c>
      <c r="I13" s="20">
        <f>SUM(I6:I12)</f>
        <v>0</v>
      </c>
    </row>
    <row r="15" spans="1:10" ht="22.05" customHeight="1">
      <c r="A15" s="41" t="s">
        <v>290</v>
      </c>
      <c r="B15" s="42"/>
      <c r="C15" s="42"/>
      <c r="D15" s="42"/>
      <c r="E15" s="42"/>
      <c r="F15" s="42"/>
      <c r="G15" s="42"/>
      <c r="H15" s="42"/>
      <c r="I15" s="42"/>
      <c r="J15" s="43"/>
    </row>
    <row r="16" spans="1:10" ht="22.05" customHeight="1">
      <c r="A16" s="60" t="s">
        <v>291</v>
      </c>
      <c r="B16" s="30"/>
      <c r="C16" s="60" t="s">
        <v>292</v>
      </c>
      <c r="D16" s="30"/>
      <c r="E16" s="60" t="s">
        <v>293</v>
      </c>
      <c r="F16" s="30"/>
      <c r="G16" s="60" t="s">
        <v>294</v>
      </c>
      <c r="H16" s="29"/>
      <c r="I16" s="29"/>
      <c r="J16" s="30"/>
    </row>
    <row r="17" spans="1:10" ht="30" customHeight="1">
      <c r="A17" s="62">
        <f>ROUND(SUM(D6:D12)/60,1)</f>
        <v>3.8</v>
      </c>
      <c r="B17" s="30"/>
      <c r="C17" s="62">
        <f>ROUND(SUM(G6:G12)/60,1)</f>
        <v>3.8</v>
      </c>
      <c r="D17" s="30"/>
      <c r="E17" s="62">
        <f>ROUND(SUM(I6:I12)/60,1)</f>
        <v>0</v>
      </c>
      <c r="F17" s="30"/>
      <c r="G17" s="64" t="str">
        <f>IF(SUM(G6:G12)=0,"-",IF(SUM(G6:G12)/60&lt;3,"Under capacity - focus on Tier 1",IF(SUM(G6:G12)/60&gt;SUM(D6:D12)/60,"Over capacity - reduce sessions","Balanced")))</f>
        <v>Balanced</v>
      </c>
      <c r="H17" s="29"/>
      <c r="I17" s="29"/>
      <c r="J17" s="30"/>
    </row>
    <row r="19" spans="1:10" ht="22.05" customHeight="1">
      <c r="A19" s="41" t="s">
        <v>295</v>
      </c>
      <c r="B19" s="42"/>
      <c r="C19" s="42"/>
      <c r="D19" s="42"/>
      <c r="E19" s="42"/>
      <c r="F19" s="42"/>
      <c r="G19" s="42"/>
      <c r="H19" s="42"/>
      <c r="I19" s="42"/>
      <c r="J19" s="43"/>
    </row>
    <row r="20" spans="1:10" ht="30" customHeight="1">
      <c r="A20" s="61" t="s">
        <v>296</v>
      </c>
      <c r="B20" s="35"/>
      <c r="C20" s="35"/>
      <c r="D20" s="63"/>
      <c r="E20" s="35"/>
      <c r="F20" s="35"/>
      <c r="G20" s="35"/>
      <c r="H20" s="35"/>
      <c r="I20" s="35"/>
      <c r="J20" s="35"/>
    </row>
    <row r="21" spans="1:10" ht="30" customHeight="1">
      <c r="A21" s="61" t="s">
        <v>297</v>
      </c>
      <c r="B21" s="35"/>
      <c r="C21" s="35"/>
      <c r="D21" s="63"/>
      <c r="E21" s="35"/>
      <c r="F21" s="35"/>
      <c r="G21" s="35"/>
      <c r="H21" s="35"/>
      <c r="I21" s="35"/>
      <c r="J21" s="35"/>
    </row>
    <row r="22" spans="1:10" ht="30" customHeight="1">
      <c r="A22" s="61" t="s">
        <v>298</v>
      </c>
      <c r="B22" s="35"/>
      <c r="C22" s="35"/>
      <c r="D22" s="63"/>
      <c r="E22" s="35"/>
      <c r="F22" s="35"/>
      <c r="G22" s="35"/>
      <c r="H22" s="35"/>
      <c r="I22" s="35"/>
      <c r="J22" s="35"/>
    </row>
    <row r="23" spans="1:10" ht="30" customHeight="1">
      <c r="A23" s="61" t="s">
        <v>299</v>
      </c>
      <c r="B23" s="35"/>
      <c r="C23" s="35"/>
      <c r="D23" s="63"/>
      <c r="E23" s="35"/>
      <c r="F23" s="35"/>
      <c r="G23" s="35"/>
      <c r="H23" s="35"/>
      <c r="I23" s="35"/>
      <c r="J23" s="35"/>
    </row>
  </sheetData>
  <mergeCells count="21">
    <mergeCell ref="A1:J1"/>
    <mergeCell ref="D22:J22"/>
    <mergeCell ref="G17:J17"/>
    <mergeCell ref="D21:J21"/>
    <mergeCell ref="A17:B17"/>
    <mergeCell ref="C17:D17"/>
    <mergeCell ref="E16:F16"/>
    <mergeCell ref="A2:J2"/>
    <mergeCell ref="D23:J23"/>
    <mergeCell ref="A16:B16"/>
    <mergeCell ref="C16:D16"/>
    <mergeCell ref="A23:C23"/>
    <mergeCell ref="A22:C22"/>
    <mergeCell ref="D20:J20"/>
    <mergeCell ref="A20:C20"/>
    <mergeCell ref="A4:J4"/>
    <mergeCell ref="G16:J16"/>
    <mergeCell ref="A21:C21"/>
    <mergeCell ref="E17:F17"/>
    <mergeCell ref="A19:J19"/>
    <mergeCell ref="A15:J15"/>
  </mergeCells>
  <conditionalFormatting sqref="H6:H12">
    <cfRule type="expression" dxfId="7" priority="1">
      <formula>$H6="Yes"</formula>
    </cfRule>
    <cfRule type="expression" dxfId="6" priority="2">
      <formula>$H6="Skipped"</formula>
    </cfRule>
  </conditionalFormatting>
  <conditionalFormatting sqref="C6:C12">
    <cfRule type="expression" dxfId="5" priority="3">
      <formula>$C6="Rest"</formula>
    </cfRule>
    <cfRule type="expression" dxfId="4" priority="4">
      <formula>$C6="Family"</formula>
    </cfRule>
    <cfRule type="expression" dxfId="3" priority="5">
      <formula>$C6="Low Energy"</formula>
    </cfRule>
  </conditionalFormatting>
  <conditionalFormatting sqref="G17">
    <cfRule type="expression" dxfId="2" priority="6">
      <formula>ISNUMBER(SEARCH("Under",G17))</formula>
    </cfRule>
    <cfRule type="expression" dxfId="1" priority="7">
      <formula>ISNUMBER(SEARCH("Over",G17))</formula>
    </cfRule>
    <cfRule type="expression" dxfId="0" priority="8">
      <formula>G17="Balanced"</formula>
    </cfRule>
  </conditionalFormatting>
  <dataValidations count="1">
    <dataValidation type="list" sqref="H6:H12" xr:uid="{00000000-0002-0000-0200-000000000000}">
      <formula1>"Yes,No,Skipped"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/>
  </sheetViews>
  <sheetFormatPr defaultRowHeight="14.4"/>
  <cols>
    <col min="1" max="1" width="5" customWidth="1"/>
    <col min="2" max="4" width="50" customWidth="1"/>
  </cols>
  <sheetData>
    <row r="1" spans="1:10">
      <c r="B1" s="21" t="s">
        <v>300</v>
      </c>
      <c r="C1" s="21" t="s">
        <v>301</v>
      </c>
      <c r="D1" s="21" t="s">
        <v>302</v>
      </c>
      <c r="F1" s="21" t="s">
        <v>303</v>
      </c>
      <c r="G1" s="21" t="s">
        <v>304</v>
      </c>
      <c r="I1" s="21" t="s">
        <v>77</v>
      </c>
      <c r="J1" s="21" t="s">
        <v>305</v>
      </c>
    </row>
    <row r="2" spans="1:10">
      <c r="A2">
        <v>1</v>
      </c>
      <c r="B2" t="s">
        <v>306</v>
      </c>
      <c r="C2" t="s">
        <v>307</v>
      </c>
      <c r="D2" t="s">
        <v>308</v>
      </c>
      <c r="F2">
        <v>1</v>
      </c>
      <c r="G2" t="s">
        <v>32</v>
      </c>
      <c r="I2" t="s">
        <v>85</v>
      </c>
      <c r="J2">
        <v>1</v>
      </c>
    </row>
    <row r="3" spans="1:10">
      <c r="A3">
        <v>2</v>
      </c>
      <c r="B3" t="s">
        <v>309</v>
      </c>
      <c r="C3" t="s">
        <v>310</v>
      </c>
      <c r="D3" t="s">
        <v>311</v>
      </c>
      <c r="F3">
        <v>2</v>
      </c>
      <c r="G3" t="s">
        <v>35</v>
      </c>
      <c r="I3" t="s">
        <v>312</v>
      </c>
      <c r="J3">
        <v>2</v>
      </c>
    </row>
    <row r="4" spans="1:10">
      <c r="A4">
        <v>3</v>
      </c>
      <c r="B4" t="s">
        <v>313</v>
      </c>
      <c r="C4" t="s">
        <v>314</v>
      </c>
      <c r="D4" t="s">
        <v>315</v>
      </c>
      <c r="F4">
        <v>3</v>
      </c>
      <c r="G4" t="s">
        <v>37</v>
      </c>
      <c r="I4" t="s">
        <v>316</v>
      </c>
      <c r="J4">
        <v>3</v>
      </c>
    </row>
    <row r="5" spans="1:10">
      <c r="A5">
        <v>4</v>
      </c>
      <c r="B5" t="s">
        <v>317</v>
      </c>
      <c r="F5">
        <v>4</v>
      </c>
      <c r="G5" t="s">
        <v>40</v>
      </c>
      <c r="I5" t="s">
        <v>318</v>
      </c>
      <c r="J5">
        <v>4</v>
      </c>
    </row>
    <row r="6" spans="1:10">
      <c r="A6">
        <v>5</v>
      </c>
      <c r="B6" t="s">
        <v>319</v>
      </c>
      <c r="F6">
        <v>5</v>
      </c>
      <c r="G6" t="s">
        <v>42</v>
      </c>
      <c r="I6" t="s">
        <v>320</v>
      </c>
      <c r="J6">
        <v>5</v>
      </c>
    </row>
    <row r="7" spans="1:10">
      <c r="A7">
        <v>6</v>
      </c>
      <c r="B7" t="s">
        <v>321</v>
      </c>
      <c r="F7">
        <v>6</v>
      </c>
      <c r="G7" t="s">
        <v>45</v>
      </c>
      <c r="I7" t="s">
        <v>322</v>
      </c>
      <c r="J7">
        <v>6</v>
      </c>
    </row>
    <row r="8" spans="1:10">
      <c r="F8">
        <v>7</v>
      </c>
      <c r="G8" t="s">
        <v>47</v>
      </c>
      <c r="I8" t="s">
        <v>323</v>
      </c>
      <c r="J8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defaultRowHeight="14.4"/>
  <cols>
    <col min="1" max="1" width="26" customWidth="1"/>
    <col min="2" max="3" width="14" customWidth="1"/>
    <col min="4" max="4" width="40" customWidth="1"/>
    <col min="5" max="5" width="14" customWidth="1"/>
  </cols>
  <sheetData>
    <row r="1" spans="1:4">
      <c r="A1" s="22" t="s">
        <v>324</v>
      </c>
    </row>
    <row r="2" spans="1:4">
      <c r="A2" t="s">
        <v>325</v>
      </c>
      <c r="B2" s="23">
        <f>SUMIFS(TopicCompleted,TopicInclude,"Yes")</f>
        <v>0</v>
      </c>
    </row>
    <row r="3" spans="1:4">
      <c r="A3" t="s">
        <v>326</v>
      </c>
      <c r="B3" s="23">
        <f>MAX(SUMIFS(TopicHours,TopicInclude,"Yes")-SUMIFS(TopicCompleted,TopicInclude,"Yes"),0)</f>
        <v>150.5</v>
      </c>
    </row>
    <row r="5" spans="1:4">
      <c r="A5" s="22" t="s">
        <v>327</v>
      </c>
    </row>
    <row r="6" spans="1:4">
      <c r="A6" t="s">
        <v>85</v>
      </c>
      <c r="B6">
        <f>COUNTIFS(TopicStatus,"Not Started",TopicInclude,"Yes")</f>
        <v>85</v>
      </c>
    </row>
    <row r="7" spans="1:4">
      <c r="A7" t="s">
        <v>312</v>
      </c>
      <c r="B7">
        <f>COUNTIFS(TopicStatus,"Learning",TopicInclude,"Yes")</f>
        <v>0</v>
      </c>
    </row>
    <row r="8" spans="1:4">
      <c r="A8" t="s">
        <v>316</v>
      </c>
      <c r="B8">
        <f>COUNTIFS(TopicStatus,"Practicing",TopicInclude,"Yes")</f>
        <v>0</v>
      </c>
    </row>
    <row r="9" spans="1:4">
      <c r="A9" t="s">
        <v>318</v>
      </c>
      <c r="B9">
        <f>COUNTIFS(TopicStatus,"Improving",TopicInclude,"Yes")</f>
        <v>0</v>
      </c>
    </row>
    <row r="10" spans="1:4">
      <c r="A10" t="s">
        <v>320</v>
      </c>
      <c r="B10">
        <f>COUNTIFS(TopicStatus,"Strong",TopicInclude,"Yes")</f>
        <v>0</v>
      </c>
    </row>
    <row r="11" spans="1:4">
      <c r="A11" t="s">
        <v>322</v>
      </c>
      <c r="B11">
        <f>COUNTIFS(TopicStatus,"Exam Ready",TopicInclude,"Yes")</f>
        <v>0</v>
      </c>
    </row>
    <row r="12" spans="1:4">
      <c r="A12" t="s">
        <v>323</v>
      </c>
      <c r="B12">
        <f>COUNTIFS(TopicStatus,"Skipped",TopicInclude,"Yes")</f>
        <v>0</v>
      </c>
    </row>
    <row r="14" spans="1:4">
      <c r="A14" s="22" t="s">
        <v>328</v>
      </c>
      <c r="B14" t="s">
        <v>329</v>
      </c>
      <c r="C14" t="s">
        <v>330</v>
      </c>
      <c r="D14" t="s">
        <v>331</v>
      </c>
    </row>
    <row r="15" spans="1:4">
      <c r="A15" s="24">
        <v>1</v>
      </c>
      <c r="B15" t="str">
        <f>INDEX(TopicName,MATCH(LARGE(PriorityKey,1),PriorityKey,0))</f>
        <v>6.4 Waveform Analysis</v>
      </c>
      <c r="C15" s="25">
        <f>INDEX(TopicPriority,MATCH(LARGE(PriorityKey,1),PriorityKey,0))</f>
        <v>7.35</v>
      </c>
      <c r="D15" t="str">
        <f>INDEX(TopicSection,MATCH(LARGE(PriorityKey,1),PriorityKey,0))</f>
        <v>Circuit Analysis</v>
      </c>
    </row>
    <row r="16" spans="1:4">
      <c r="A16" s="24">
        <v>2</v>
      </c>
      <c r="B16" t="str">
        <f>INDEX(TopicName,MATCH(LARGE(PriorityKey,2),PriorityKey,0))</f>
        <v>6.6 Impedance</v>
      </c>
      <c r="C16" s="25">
        <f>INDEX(TopicPriority,MATCH(LARGE(PriorityKey,2),PriorityKey,0))</f>
        <v>7.3</v>
      </c>
      <c r="D16" t="str">
        <f>INDEX(TopicSection,MATCH(LARGE(PriorityKey,2),PriorityKey,0))</f>
        <v>Circuit Analysis</v>
      </c>
    </row>
    <row r="17" spans="1:4">
      <c r="A17" s="24">
        <v>3</v>
      </c>
      <c r="B17" t="str">
        <f>INDEX(TopicName,MATCH(LARGE(PriorityKey,3),PriorityKey,0))</f>
        <v>6.5 Phasors</v>
      </c>
      <c r="C17" s="25">
        <f>INDEX(TopicPriority,MATCH(LARGE(PriorityKey,3),PriorityKey,0))</f>
        <v>7.3</v>
      </c>
      <c r="D17" t="str">
        <f>INDEX(TopicSection,MATCH(LARGE(PriorityKey,3),PriorityKey,0))</f>
        <v>Circuit Analysis</v>
      </c>
    </row>
    <row r="18" spans="1:4">
      <c r="A18" s="24">
        <v>4</v>
      </c>
      <c r="B18" t="str">
        <f>INDEX(TopicName,MATCH(LARGE(PriorityKey,4),PriorityKey,0))</f>
        <v>6.3 Thevenin and Norton Theorems</v>
      </c>
      <c r="C18" s="25">
        <f>INDEX(TopicPriority,MATCH(LARGE(PriorityKey,4),PriorityKey,0))</f>
        <v>7.3</v>
      </c>
      <c r="D18" t="str">
        <f>INDEX(TopicSection,MATCH(LARGE(PriorityKey,4),PriorityKey,0))</f>
        <v>Circuit Analysis</v>
      </c>
    </row>
    <row r="19" spans="1:4">
      <c r="A19" s="24">
        <v>5</v>
      </c>
      <c r="B19" t="str">
        <f>INDEX(TopicName,MATCH(LARGE(PriorityKey,5),PriorityKey,0))</f>
        <v>6.2 Series and Parallel Equivalent Circuits</v>
      </c>
      <c r="C19" s="25">
        <f>INDEX(TopicPriority,MATCH(LARGE(PriorityKey,5),PriorityKey,0))</f>
        <v>7.3</v>
      </c>
      <c r="D19" t="str">
        <f>INDEX(TopicSection,MATCH(LARGE(PriorityKey,5),PriorityKey,0))</f>
        <v>Circuit Analysis</v>
      </c>
    </row>
    <row r="21" spans="1:4">
      <c r="A21" s="22" t="s">
        <v>332</v>
      </c>
    </row>
    <row r="22" spans="1:4">
      <c r="A22" t="s">
        <v>333</v>
      </c>
      <c r="B22">
        <f>COUNTIF(TopicInclude,"Yes")</f>
        <v>85</v>
      </c>
    </row>
    <row r="23" spans="1:4">
      <c r="A23" t="s">
        <v>334</v>
      </c>
      <c r="B23">
        <f>SUMPRODUCT((TopicPriority&gt;=5)*(TopicInclude="Yes")*(TopicCompleted&lt;TopicHours)*(TopicStatus&lt;&gt;"Exam Ready"))</f>
        <v>37</v>
      </c>
    </row>
    <row r="24" spans="1:4">
      <c r="A24" t="s">
        <v>335</v>
      </c>
      <c r="B24" s="23">
        <f>SUMIFS(TopicHours,TopicInclude,"Yes")</f>
        <v>150.5</v>
      </c>
    </row>
    <row r="25" spans="1:4">
      <c r="A25" t="s">
        <v>336</v>
      </c>
      <c r="B25" s="23">
        <f>SUMIFS(TopicCompleted,TopicInclude,"Yes")</f>
        <v>0</v>
      </c>
    </row>
    <row r="26" spans="1:4">
      <c r="A26" t="s">
        <v>337</v>
      </c>
      <c r="B26" s="23">
        <f>MAX(B24-B25,0)</f>
        <v>150.5</v>
      </c>
    </row>
    <row r="27" spans="1:4">
      <c r="A27" t="s">
        <v>338</v>
      </c>
      <c r="B27" s="26">
        <f>IFERROR(B25/B24,0)</f>
        <v>0</v>
      </c>
    </row>
    <row r="28" spans="1:4">
      <c r="A28" t="s">
        <v>339</v>
      </c>
      <c r="B28" s="26">
        <f>IFERROR(SUMPRODUCT(TopicPriority,TopicCompleted)/SUMPRODUCT(TopicPriority,TopicHours),0)</f>
        <v>0</v>
      </c>
    </row>
    <row r="30" spans="1:4">
      <c r="A30" s="22" t="s">
        <v>340</v>
      </c>
    </row>
    <row r="31" spans="1:4">
      <c r="A31" t="s">
        <v>67</v>
      </c>
      <c r="B31" t="s">
        <v>29</v>
      </c>
      <c r="C31" t="s">
        <v>341</v>
      </c>
    </row>
    <row r="32" spans="1:4">
      <c r="A32" t="s">
        <v>342</v>
      </c>
      <c r="B32" s="23">
        <f>SUMIFS(TopicCompleted,TopicTier,1,TopicInclude,"Yes")</f>
        <v>0</v>
      </c>
      <c r="C32" s="23">
        <f>MAX(SUMIFS(TopicHours,TopicTier,1,TopicInclude,"Yes")-SUMIFS(TopicCompleted,TopicTier,1,TopicInclude,"Yes"),0)</f>
        <v>87.5</v>
      </c>
    </row>
    <row r="33" spans="1:3">
      <c r="A33" t="s">
        <v>343</v>
      </c>
      <c r="B33" s="23">
        <f>SUMIFS(TopicCompleted,TopicTier,2,TopicInclude,"Yes")</f>
        <v>0</v>
      </c>
      <c r="C33" s="23">
        <f>MAX(SUMIFS(TopicHours,TopicTier,2,TopicInclude,"Yes")-SUMIFS(TopicCompleted,TopicTier,2,TopicInclude,"Yes"),0)</f>
        <v>51</v>
      </c>
    </row>
    <row r="34" spans="1:3">
      <c r="A34" t="s">
        <v>344</v>
      </c>
      <c r="B34" s="23">
        <f>SUMIFS(TopicCompleted,TopicTier,3,TopicInclude,"Yes")</f>
        <v>0</v>
      </c>
      <c r="C34" s="23">
        <f>MAX(SUMIFS(TopicHours,TopicTier,3,TopicInclude,"Yes")-SUMIFS(TopicCompleted,TopicTier,3,TopicInclude,"Yes"),0)</f>
        <v>12</v>
      </c>
    </row>
    <row r="36" spans="1:3">
      <c r="A36" s="22" t="s">
        <v>345</v>
      </c>
    </row>
    <row r="37" spans="1:3">
      <c r="A37" t="s">
        <v>346</v>
      </c>
      <c r="B37" t="s">
        <v>347</v>
      </c>
    </row>
    <row r="38" spans="1:3">
      <c r="A38" t="s">
        <v>348</v>
      </c>
      <c r="B38" s="23">
        <f>ROUND(SUM(_PlanEngine!E2:E8)/60,1)</f>
        <v>3.8</v>
      </c>
    </row>
    <row r="39" spans="1:3">
      <c r="A39" t="s">
        <v>349</v>
      </c>
      <c r="B39" s="23">
        <f>ROUND(SUM(_PlanEngine!N2:N8)/60,1)</f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/>
  </sheetViews>
  <sheetFormatPr defaultRowHeight="14.4"/>
  <cols>
    <col min="1" max="10" width="14" customWidth="1"/>
    <col min="11" max="11" width="30" customWidth="1"/>
    <col min="12" max="12" width="20" customWidth="1"/>
    <col min="13" max="14" width="14" customWidth="1"/>
    <col min="15" max="15" width="60" customWidth="1"/>
    <col min="16" max="17" width="14" customWidth="1"/>
  </cols>
  <sheetData>
    <row r="1" spans="1:17">
      <c r="A1" s="21" t="s">
        <v>350</v>
      </c>
      <c r="B1" s="21" t="s">
        <v>283</v>
      </c>
      <c r="C1" s="21" t="s">
        <v>304</v>
      </c>
      <c r="D1" s="21" t="s">
        <v>26</v>
      </c>
      <c r="E1" s="21" t="s">
        <v>351</v>
      </c>
      <c r="F1" s="21" t="s">
        <v>25</v>
      </c>
      <c r="G1" s="21" t="s">
        <v>352</v>
      </c>
      <c r="H1" s="21" t="s">
        <v>353</v>
      </c>
      <c r="I1" s="21" t="s">
        <v>354</v>
      </c>
      <c r="J1" s="21" t="s">
        <v>355</v>
      </c>
      <c r="K1" s="21" t="s">
        <v>356</v>
      </c>
      <c r="L1" s="21" t="s">
        <v>357</v>
      </c>
      <c r="M1" s="21" t="s">
        <v>358</v>
      </c>
      <c r="N1" s="21" t="s">
        <v>359</v>
      </c>
      <c r="O1" s="21" t="s">
        <v>360</v>
      </c>
      <c r="P1" s="21" t="s">
        <v>361</v>
      </c>
      <c r="Q1" s="21" t="s">
        <v>362</v>
      </c>
    </row>
    <row r="2" spans="1:17">
      <c r="A2">
        <v>1</v>
      </c>
      <c r="B2" s="27">
        <f ca="1">TODAY()-WEEKDAY(TODAY(),1)+1</f>
        <v>46159</v>
      </c>
      <c r="C2" t="str">
        <f>INDEX(DayNames,1)</f>
        <v>Sunday</v>
      </c>
      <c r="D2" t="str">
        <f>INDEX(DailyMode,1)</f>
        <v>Normal</v>
      </c>
      <c r="E2">
        <f>INDEX(DailyMins,1)</f>
        <v>30</v>
      </c>
      <c r="F2">
        <f>INDEX(DailyEnergy,1)</f>
        <v>2</v>
      </c>
      <c r="G2">
        <f>IF(D2="Normal",COUNTIF($D$2:D2,"Normal"),0)</f>
        <v>1</v>
      </c>
      <c r="H2">
        <f>IF(D2="Low Energy",COUNTIF($D$2:D2,"Low Energy"),0)</f>
        <v>0</v>
      </c>
      <c r="I2">
        <f>IF(D2="Family",COUNTIF($D$2:D2,"Family"),0)</f>
        <v>0</v>
      </c>
      <c r="J2">
        <f t="shared" ref="J2:J8" si="0">IF(D2="Rest",0,IF(D2="Low Energy",0,IF(D2="Family",IFERROR(MATCH(LARGE(FamilyKey,I2),FamilyKey,0),0),IFERROR(MATCH(LARGE(PriorityKey,G2),PriorityKey,0),0))))</f>
        <v>23</v>
      </c>
      <c r="K2" t="str">
        <f t="shared" ref="K2:K8" si="1">IF(J2=0,"",INDEX(TopicName,J2))</f>
        <v>6.4 Waveform Analysis</v>
      </c>
      <c r="L2" t="str">
        <f t="shared" ref="L2:L8" si="2">IF(J2=0,"",INDEX(TopicSection,J2))</f>
        <v>Circuit Analysis</v>
      </c>
      <c r="M2">
        <f t="shared" ref="M2:M8" si="3">IF(J2=0,"",INDEX(TopicTier,J2))</f>
        <v>1</v>
      </c>
      <c r="N2">
        <f t="shared" ref="N2:N8" si="4">IF(D2="Rest",0,IF(E2&lt;=0,0,IF(D2="Low Energy",MIN(20,MAX(10,E2)),IF(D2="Family",MIN(45,MAX(20,E2)),MIN(45,MAX(25,E2))))))</f>
        <v>30</v>
      </c>
      <c r="O2" t="str">
        <f t="shared" ref="O2:O8" si="5">IF(D2="Rest","Rest. No study required.",IF(D2="Low Energy",INDEX(LowEnergyTasks,MOD(H2-1,6)+1),IF(K2="","No included topics. Update Topic Planner.",IF(D2="Family","Light review of "&amp;K2&amp;". No heavy problem solving.",INDEX(NormalTaskTemplates,MOD(G2-1,3)+1)&amp;" Topic: "&amp;K2))))</f>
        <v>Study the core concept, then solve 2-4 examples. Topic: 6.4 Waveform Analysis</v>
      </c>
      <c r="P2">
        <f t="shared" ref="P2:P8" si="6">IF(N2&gt;E2,1,0)</f>
        <v>0</v>
      </c>
      <c r="Q2">
        <f t="shared" ref="Q2:Q8" si="7">IF(AND(D2="Normal",E2&lt;25,E2&gt;0),1,0)</f>
        <v>0</v>
      </c>
    </row>
    <row r="3" spans="1:17">
      <c r="A3">
        <v>2</v>
      </c>
      <c r="B3" s="27">
        <f t="shared" ref="B3:B8" ca="1" si="8">B2+1</f>
        <v>46160</v>
      </c>
      <c r="C3" t="str">
        <f>INDEX(DayNames,2)</f>
        <v>Monday</v>
      </c>
      <c r="D3" t="str">
        <f>INDEX(DailyMode,2)</f>
        <v>Normal</v>
      </c>
      <c r="E3">
        <f>INDEX(DailyMins,2)</f>
        <v>35</v>
      </c>
      <c r="F3">
        <f>INDEX(DailyEnergy,2)</f>
        <v>3</v>
      </c>
      <c r="G3">
        <f>IF(D3="Normal",COUNTIF($D$2:D3,"Normal"),0)</f>
        <v>2</v>
      </c>
      <c r="H3">
        <f>IF(D3="Low Energy",COUNTIF($D$2:D3,"Low Energy"),0)</f>
        <v>0</v>
      </c>
      <c r="I3">
        <f>IF(D3="Family",COUNTIF($D$2:D3,"Family"),0)</f>
        <v>0</v>
      </c>
      <c r="J3">
        <f t="shared" si="0"/>
        <v>25</v>
      </c>
      <c r="K3" t="str">
        <f t="shared" si="1"/>
        <v>6.6 Impedance</v>
      </c>
      <c r="L3" t="str">
        <f t="shared" si="2"/>
        <v>Circuit Analysis</v>
      </c>
      <c r="M3">
        <f t="shared" si="3"/>
        <v>1</v>
      </c>
      <c r="N3">
        <f t="shared" si="4"/>
        <v>35</v>
      </c>
      <c r="O3" t="str">
        <f t="shared" si="5"/>
        <v>Review formulas, then practice short FE-style problems. Topic: 6.6 Impedance</v>
      </c>
      <c r="P3">
        <f t="shared" si="6"/>
        <v>0</v>
      </c>
      <c r="Q3">
        <f t="shared" si="7"/>
        <v>0</v>
      </c>
    </row>
    <row r="4" spans="1:17">
      <c r="A4">
        <v>3</v>
      </c>
      <c r="B4" s="27">
        <f t="shared" ca="1" si="8"/>
        <v>46161</v>
      </c>
      <c r="C4" t="str">
        <f>INDEX(DayNames,3)</f>
        <v>Tuesday</v>
      </c>
      <c r="D4" t="str">
        <f>INDEX(DailyMode,3)</f>
        <v>Normal</v>
      </c>
      <c r="E4">
        <f>INDEX(DailyMins,3)</f>
        <v>30</v>
      </c>
      <c r="F4">
        <f>INDEX(DailyEnergy,3)</f>
        <v>2</v>
      </c>
      <c r="G4">
        <f>IF(D4="Normal",COUNTIF($D$2:D4,"Normal"),0)</f>
        <v>3</v>
      </c>
      <c r="H4">
        <f>IF(D4="Low Energy",COUNTIF($D$2:D4,"Low Energy"),0)</f>
        <v>0</v>
      </c>
      <c r="I4">
        <f>IF(D4="Family",COUNTIF($D$2:D4,"Family"),0)</f>
        <v>0</v>
      </c>
      <c r="J4">
        <f t="shared" si="0"/>
        <v>24</v>
      </c>
      <c r="K4" t="str">
        <f t="shared" si="1"/>
        <v>6.5 Phasors</v>
      </c>
      <c r="L4" t="str">
        <f t="shared" si="2"/>
        <v>Circuit Analysis</v>
      </c>
      <c r="M4">
        <f t="shared" si="3"/>
        <v>1</v>
      </c>
      <c r="N4">
        <f t="shared" si="4"/>
        <v>30</v>
      </c>
      <c r="O4" t="str">
        <f t="shared" si="5"/>
        <v>Focus on common mistakes and update confidence. Topic: 6.5 Phasors</v>
      </c>
      <c r="P4">
        <f t="shared" si="6"/>
        <v>0</v>
      </c>
      <c r="Q4">
        <f t="shared" si="7"/>
        <v>0</v>
      </c>
    </row>
    <row r="5" spans="1:17">
      <c r="A5">
        <v>4</v>
      </c>
      <c r="B5" s="27">
        <f t="shared" ca="1" si="8"/>
        <v>46162</v>
      </c>
      <c r="C5" t="str">
        <f>INDEX(DayNames,4)</f>
        <v>Wednesday</v>
      </c>
      <c r="D5" t="str">
        <f>INDEX(DailyMode,4)</f>
        <v>Normal</v>
      </c>
      <c r="E5">
        <f>INDEX(DailyMins,4)</f>
        <v>35</v>
      </c>
      <c r="F5">
        <f>INDEX(DailyEnergy,4)</f>
        <v>3</v>
      </c>
      <c r="G5">
        <f>IF(D5="Normal",COUNTIF($D$2:D5,"Normal"),0)</f>
        <v>4</v>
      </c>
      <c r="H5">
        <f>IF(D5="Low Energy",COUNTIF($D$2:D5,"Low Energy"),0)</f>
        <v>0</v>
      </c>
      <c r="I5">
        <f>IF(D5="Family",COUNTIF($D$2:D5,"Family"),0)</f>
        <v>0</v>
      </c>
      <c r="J5">
        <f t="shared" si="0"/>
        <v>22</v>
      </c>
      <c r="K5" t="str">
        <f t="shared" si="1"/>
        <v>6.3 Thevenin and Norton Theorems</v>
      </c>
      <c r="L5" t="str">
        <f t="shared" si="2"/>
        <v>Circuit Analysis</v>
      </c>
      <c r="M5">
        <f t="shared" si="3"/>
        <v>1</v>
      </c>
      <c r="N5">
        <f t="shared" si="4"/>
        <v>35</v>
      </c>
      <c r="O5" t="str">
        <f t="shared" si="5"/>
        <v>Study the core concept, then solve 2-4 examples. Topic: 6.3 Thevenin and Norton Theorems</v>
      </c>
      <c r="P5">
        <f t="shared" si="6"/>
        <v>0</v>
      </c>
      <c r="Q5">
        <f t="shared" si="7"/>
        <v>0</v>
      </c>
    </row>
    <row r="6" spans="1:17">
      <c r="A6">
        <v>5</v>
      </c>
      <c r="B6" s="27">
        <f t="shared" ca="1" si="8"/>
        <v>46163</v>
      </c>
      <c r="C6" t="str">
        <f>INDEX(DayNames,5)</f>
        <v>Thursday</v>
      </c>
      <c r="D6" t="str">
        <f>INDEX(DailyMode,5)</f>
        <v>Low Energy</v>
      </c>
      <c r="E6">
        <f>INDEX(DailyMins,5)</f>
        <v>25</v>
      </c>
      <c r="F6">
        <f>INDEX(DailyEnergy,5)</f>
        <v>2</v>
      </c>
      <c r="G6">
        <f>IF(D6="Normal",COUNTIF($D$2:D6,"Normal"),0)</f>
        <v>0</v>
      </c>
      <c r="H6">
        <f>IF(D6="Low Energy",COUNTIF($D$2:D6,"Low Energy"),0)</f>
        <v>1</v>
      </c>
      <c r="I6">
        <f>IF(D6="Family",COUNTIF($D$2:D6,"Family"),0)</f>
        <v>0</v>
      </c>
      <c r="J6">
        <f t="shared" si="0"/>
        <v>0</v>
      </c>
      <c r="K6" t="str">
        <f t="shared" si="1"/>
        <v/>
      </c>
      <c r="L6" t="str">
        <f t="shared" si="2"/>
        <v/>
      </c>
      <c r="M6" t="str">
        <f t="shared" si="3"/>
        <v/>
      </c>
      <c r="N6">
        <f t="shared" si="4"/>
        <v>20</v>
      </c>
      <c r="O6" t="str">
        <f t="shared" si="5"/>
        <v>FE Handbook formula lookup - 10-15 min</v>
      </c>
      <c r="P6">
        <f t="shared" si="6"/>
        <v>0</v>
      </c>
      <c r="Q6">
        <f t="shared" si="7"/>
        <v>0</v>
      </c>
    </row>
    <row r="7" spans="1:17">
      <c r="A7">
        <v>6</v>
      </c>
      <c r="B7" s="27">
        <f t="shared" ca="1" si="8"/>
        <v>46164</v>
      </c>
      <c r="C7" t="str">
        <f>INDEX(DayNames,6)</f>
        <v>Friday</v>
      </c>
      <c r="D7" t="str">
        <f>INDEX(DailyMode,6)</f>
        <v>Family</v>
      </c>
      <c r="E7">
        <f>INDEX(DailyMins,6)</f>
        <v>30</v>
      </c>
      <c r="F7">
        <f>INDEX(DailyEnergy,6)</f>
        <v>3</v>
      </c>
      <c r="G7">
        <f>IF(D7="Normal",COUNTIF($D$2:D7,"Normal"),0)</f>
        <v>0</v>
      </c>
      <c r="H7">
        <f>IF(D7="Low Energy",COUNTIF($D$2:D7,"Low Energy"),0)</f>
        <v>0</v>
      </c>
      <c r="I7">
        <f>IF(D7="Family",COUNTIF($D$2:D7,"Family"),0)</f>
        <v>1</v>
      </c>
      <c r="J7">
        <f t="shared" si="0"/>
        <v>58</v>
      </c>
      <c r="K7" t="str">
        <f t="shared" si="1"/>
        <v>13.1 Communication Theory</v>
      </c>
      <c r="L7" t="str">
        <f t="shared" si="2"/>
        <v>Communications</v>
      </c>
      <c r="M7">
        <f t="shared" si="3"/>
        <v>2</v>
      </c>
      <c r="N7">
        <f t="shared" si="4"/>
        <v>30</v>
      </c>
      <c r="O7" t="str">
        <f t="shared" si="5"/>
        <v>Light review of 13.1 Communication Theory. No heavy problem solving.</v>
      </c>
      <c r="P7">
        <f t="shared" si="6"/>
        <v>0</v>
      </c>
      <c r="Q7">
        <f t="shared" si="7"/>
        <v>0</v>
      </c>
    </row>
    <row r="8" spans="1:17">
      <c r="A8">
        <v>7</v>
      </c>
      <c r="B8" s="27">
        <f t="shared" ca="1" si="8"/>
        <v>46165</v>
      </c>
      <c r="C8" t="str">
        <f>INDEX(DayNames,7)</f>
        <v>Saturday</v>
      </c>
      <c r="D8" t="str">
        <f>INDEX(DailyMode,7)</f>
        <v>Family</v>
      </c>
      <c r="E8">
        <f>INDEX(DailyMins,7)</f>
        <v>45</v>
      </c>
      <c r="F8">
        <f>INDEX(DailyEnergy,7)</f>
        <v>4</v>
      </c>
      <c r="G8">
        <f>IF(D8="Normal",COUNTIF($D$2:D8,"Normal"),0)</f>
        <v>0</v>
      </c>
      <c r="H8">
        <f>IF(D8="Low Energy",COUNTIF($D$2:D8,"Low Energy"),0)</f>
        <v>0</v>
      </c>
      <c r="I8">
        <f>IF(D8="Family",COUNTIF($D$2:D8,"Family"),0)</f>
        <v>2</v>
      </c>
      <c r="J8">
        <f t="shared" si="0"/>
        <v>30</v>
      </c>
      <c r="K8" t="str">
        <f t="shared" si="1"/>
        <v>8.1 Sampling</v>
      </c>
      <c r="L8" t="str">
        <f t="shared" si="2"/>
        <v>Signal Processing</v>
      </c>
      <c r="M8">
        <f t="shared" si="3"/>
        <v>2</v>
      </c>
      <c r="N8">
        <f t="shared" si="4"/>
        <v>45</v>
      </c>
      <c r="O8" t="str">
        <f t="shared" si="5"/>
        <v>Light review of 8.1 Sampling. No heavy problem solving.</v>
      </c>
      <c r="P8">
        <f t="shared" si="6"/>
        <v>0</v>
      </c>
      <c r="Q8">
        <f t="shared" si="7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58</vt:i4>
      </vt:variant>
    </vt:vector>
  </HeadingPairs>
  <TitlesOfParts>
    <vt:vector size="64" baseType="lpstr">
      <vt:lpstr>Dashboard</vt:lpstr>
      <vt:lpstr>Topic Planner</vt:lpstr>
      <vt:lpstr>Weekly Plan</vt:lpstr>
      <vt:lpstr>_Lists</vt:lpstr>
      <vt:lpstr>_Calc</vt:lpstr>
      <vt:lpstr>_PlanEngine</vt:lpstr>
      <vt:lpstr>CompletedHrs</vt:lpstr>
      <vt:lpstr>DailyEnergy</vt:lpstr>
      <vt:lpstr>DailyMins</vt:lpstr>
      <vt:lpstr>DailyMode</vt:lpstr>
      <vt:lpstr>DayNames</vt:lpstr>
      <vt:lpstr>DeferKey</vt:lpstr>
      <vt:lpstr>FamilyKey</vt:lpstr>
      <vt:lpstr>FamilyTaskTemplates</vt:lpstr>
      <vt:lpstr>HighPriRem</vt:lpstr>
      <vt:lpstr>LowEnergyTasks</vt:lpstr>
      <vt:lpstr>NormalTaskTemplates</vt:lpstr>
      <vt:lpstr>OverallDone</vt:lpstr>
      <vt:lpstr>OverallRem</vt:lpstr>
      <vt:lpstr>PlanAutoTask</vt:lpstr>
      <vt:lpstr>PlanAvailMins</vt:lpstr>
      <vt:lpstr>PlanDate</vt:lpstr>
      <vt:lpstr>PlanDay</vt:lpstr>
      <vt:lpstr>PlanEnergy</vt:lpstr>
      <vt:lpstr>PlanMode</vt:lpstr>
      <vt:lpstr>PlannedHrs</vt:lpstr>
      <vt:lpstr>PlanSuggestMins</vt:lpstr>
      <vt:lpstr>PlanTopicIdx</vt:lpstr>
      <vt:lpstr>PlanTopicName</vt:lpstr>
      <vt:lpstr>PlanTopicSection</vt:lpstr>
      <vt:lpstr>PlanTopicTier</vt:lpstr>
      <vt:lpstr>PriorityKey</vt:lpstr>
      <vt:lpstr>ProgressPct</vt:lpstr>
      <vt:lpstr>ReadinessPct</vt:lpstr>
      <vt:lpstr>RemainingHrs</vt:lpstr>
      <vt:lpstr>StatusList</vt:lpstr>
      <vt:lpstr>TiredKey</vt:lpstr>
      <vt:lpstr>TopicAction</vt:lpstr>
      <vt:lpstr>TopicBoredom</vt:lpstr>
      <vt:lpstr>TopicCompleted</vt:lpstr>
      <vt:lpstr>TopicConf</vt:lpstr>
      <vt:lpstr>TopicDepth</vt:lpstr>
      <vt:lpstr>TopicDiff</vt:lpstr>
      <vt:lpstr>TopicHours</vt:lpstr>
      <vt:lpstr>TopicInclude</vt:lpstr>
      <vt:lpstr>TopicName</vt:lpstr>
      <vt:lpstr>TopicPriority</vt:lpstr>
      <vt:lpstr>TopicProgress</vt:lpstr>
      <vt:lpstr>TopicQuickWin</vt:lpstr>
      <vt:lpstr>TopicSection</vt:lpstr>
      <vt:lpstr>TopicStatus</vt:lpstr>
      <vt:lpstr>TopicTier</vt:lpstr>
      <vt:lpstr>TopicWeight</vt:lpstr>
      <vt:lpstr>TotalIncluded</vt:lpstr>
      <vt:lpstr>WeeklyAvail</vt:lpstr>
      <vt:lpstr>WeeklyPlanActual</vt:lpstr>
      <vt:lpstr>WeeklyPlanDate</vt:lpstr>
      <vt:lpstr>WeeklyPlanDay</vt:lpstr>
      <vt:lpstr>WeeklyPlanDone</vt:lpstr>
      <vt:lpstr>WeeklyPlanMins</vt:lpstr>
      <vt:lpstr>WeeklyPlanMode</vt:lpstr>
      <vt:lpstr>WeeklyPlanned</vt:lpstr>
      <vt:lpstr>WeeklyPlanTask</vt:lpstr>
      <vt:lpstr>WeeklyPlanTopic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Rahim Abu Riyala</cp:lastModifiedBy>
  <dcterms:created xsi:type="dcterms:W3CDTF">2026-05-18T15:45:25Z</dcterms:created>
  <dcterms:modified xsi:type="dcterms:W3CDTF">2026-05-18T15:51:04Z</dcterms:modified>
</cp:coreProperties>
</file>